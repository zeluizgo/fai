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EstaPasta_de_trabalho" hidePivotFieldList="1" defaultThemeVersion="124226"/>
  <bookViews>
    <workbookView xWindow="120" yWindow="45" windowWidth="15270" windowHeight="11325"/>
  </bookViews>
  <sheets>
    <sheet name="Gráfico" sheetId="11" r:id="rId1"/>
    <sheet name="Pivot_Dados" sheetId="6" state="hidden" r:id="rId2"/>
    <sheet name="Pivot_Dados_Brasil" sheetId="12" state="hidden" r:id="rId3"/>
    <sheet name="Dados" sheetId="8" r:id="rId4"/>
    <sheet name="Visão Geral Regiao" sheetId="14" r:id="rId5"/>
  </sheets>
  <definedNames>
    <definedName name="_xlnm._FilterDatabase" localSheetId="3" hidden="1">Dados!$G$3:$G$30</definedName>
    <definedName name="_xlnm.Extract" localSheetId="3">Dados!$O$8</definedName>
  </definedNames>
  <calcPr calcId="125725"/>
  <pivotCaches>
    <pivotCache cacheId="22" r:id="rId6"/>
    <pivotCache cacheId="28" r:id="rId7"/>
    <pivotCache cacheId="36" r:id="rId8"/>
  </pivotCaches>
</workbook>
</file>

<file path=xl/calcChain.xml><?xml version="1.0" encoding="utf-8"?>
<calcChain xmlns="http://schemas.openxmlformats.org/spreadsheetml/2006/main">
  <c r="Q1" i="8"/>
  <c r="Q2"/>
  <c r="Q3"/>
  <c r="Q4"/>
  <c r="Q5"/>
  <c r="Q6"/>
  <c r="J1" l="1"/>
  <c r="G2" l="1"/>
  <c r="I1"/>
  <c r="H1"/>
  <c r="I11"/>
  <c r="I7"/>
  <c r="J21"/>
  <c r="K22"/>
  <c r="I13"/>
  <c r="J14"/>
  <c r="K25"/>
  <c r="J22"/>
  <c r="J15"/>
  <c r="J26"/>
  <c r="I8"/>
  <c r="K10"/>
  <c r="J30"/>
  <c r="K9"/>
  <c r="K16"/>
  <c r="J12"/>
  <c r="J19"/>
  <c r="K19"/>
  <c r="J18"/>
  <c r="K27"/>
  <c r="J13"/>
  <c r="I20"/>
  <c r="K20"/>
  <c r="J11"/>
  <c r="K7"/>
  <c r="I22"/>
  <c r="J10"/>
  <c r="K12"/>
  <c r="I10"/>
  <c r="J16"/>
  <c r="I18"/>
  <c r="I23"/>
  <c r="K14"/>
  <c r="I26"/>
  <c r="I14"/>
  <c r="K17"/>
  <c r="J8"/>
  <c r="I9"/>
  <c r="J25"/>
  <c r="I15"/>
  <c r="J28"/>
  <c r="J7"/>
  <c r="J23"/>
  <c r="I29"/>
  <c r="I17"/>
  <c r="K26"/>
  <c r="K30"/>
  <c r="J29"/>
  <c r="J20"/>
  <c r="I12"/>
  <c r="K13"/>
  <c r="I24"/>
  <c r="K8"/>
  <c r="K24"/>
  <c r="I16"/>
  <c r="J17"/>
  <c r="J27"/>
  <c r="I28"/>
  <c r="I30"/>
  <c r="K11"/>
  <c r="I21"/>
  <c r="K18"/>
  <c r="K23"/>
  <c r="I25"/>
  <c r="J9"/>
  <c r="J6"/>
  <c r="K4"/>
  <c r="I6"/>
  <c r="K6"/>
  <c r="J5"/>
  <c r="I4"/>
  <c r="K5"/>
  <c r="J4"/>
  <c r="L5" l="1"/>
  <c r="L6"/>
  <c r="L4"/>
  <c r="L30"/>
  <c r="M16"/>
  <c r="L27"/>
  <c r="L12"/>
  <c r="L9"/>
  <c r="L26"/>
  <c r="L23"/>
  <c r="L22"/>
  <c r="L19"/>
  <c r="M25"/>
  <c r="M22"/>
  <c r="L8"/>
  <c r="L14"/>
  <c r="L11"/>
  <c r="L25"/>
  <c r="L10"/>
  <c r="L7"/>
  <c r="M28"/>
  <c r="L16"/>
  <c r="L13"/>
  <c r="L20"/>
  <c r="L17"/>
  <c r="L18"/>
  <c r="M13"/>
  <c r="M10"/>
  <c r="M7"/>
  <c r="G51"/>
  <c r="G49"/>
  <c r="G47"/>
  <c r="G45"/>
  <c r="G43"/>
  <c r="G41"/>
  <c r="G39"/>
  <c r="G37"/>
  <c r="G35"/>
  <c r="G34"/>
  <c r="G50"/>
  <c r="G48"/>
  <c r="G46"/>
  <c r="G44"/>
  <c r="G42"/>
  <c r="G40"/>
  <c r="G38"/>
  <c r="G36"/>
  <c r="K15"/>
  <c r="I27"/>
  <c r="J24"/>
  <c r="K29"/>
  <c r="K21"/>
  <c r="I19"/>
  <c r="K28"/>
  <c r="K45"/>
  <c r="J44"/>
  <c r="I47"/>
  <c r="K38"/>
  <c r="I34"/>
  <c r="J42"/>
  <c r="I35"/>
  <c r="I45"/>
  <c r="K40"/>
  <c r="J43"/>
  <c r="I38"/>
  <c r="K34"/>
  <c r="K51"/>
  <c r="J41"/>
  <c r="I40"/>
  <c r="K39"/>
  <c r="K49"/>
  <c r="J48"/>
  <c r="I51"/>
  <c r="K46"/>
  <c r="K37"/>
  <c r="J36"/>
  <c r="I39"/>
  <c r="I49"/>
  <c r="K44"/>
  <c r="J47"/>
  <c r="I46"/>
  <c r="I37"/>
  <c r="K42"/>
  <c r="J35"/>
  <c r="J45"/>
  <c r="I44"/>
  <c r="K43"/>
  <c r="J38"/>
  <c r="J34"/>
  <c r="I42"/>
  <c r="K50"/>
  <c r="K41"/>
  <c r="J40"/>
  <c r="J50"/>
  <c r="K48"/>
  <c r="J51"/>
  <c r="I50"/>
  <c r="I41"/>
  <c r="K36"/>
  <c r="J39"/>
  <c r="J49"/>
  <c r="I48"/>
  <c r="K47"/>
  <c r="J46"/>
  <c r="J37"/>
  <c r="I36"/>
  <c r="K35"/>
  <c r="I43"/>
  <c r="I5"/>
  <c r="L28" l="1"/>
  <c r="M4"/>
  <c r="L15"/>
  <c r="M43"/>
  <c r="M40"/>
  <c r="M37"/>
  <c r="M49"/>
  <c r="M46"/>
  <c r="M20"/>
  <c r="M5"/>
  <c r="M11"/>
  <c r="L24"/>
  <c r="L29"/>
  <c r="M29" s="1"/>
  <c r="M19"/>
  <c r="L21"/>
  <c r="M8"/>
  <c r="M26"/>
  <c r="M17"/>
  <c r="M14"/>
  <c r="M23"/>
  <c r="L38"/>
  <c r="L46"/>
  <c r="L50"/>
  <c r="L35"/>
  <c r="L39"/>
  <c r="L43"/>
  <c r="J41" i="14"/>
  <c r="L47" i="8"/>
  <c r="M47" s="1"/>
  <c r="L51"/>
  <c r="L42"/>
  <c r="L36"/>
  <c r="L40"/>
  <c r="L44"/>
  <c r="M44" s="1"/>
  <c r="L48"/>
  <c r="L37"/>
  <c r="R21" i="14"/>
  <c r="L41" i="8"/>
  <c r="L45"/>
  <c r="L49"/>
  <c r="J21" i="14"/>
  <c r="M34" i="8"/>
  <c r="B21" i="14" s="1"/>
  <c r="B41"/>
  <c r="L34" i="8"/>
  <c r="R41" i="14"/>
  <c r="E36" i="8"/>
  <c r="E40"/>
  <c r="E44"/>
  <c r="E48"/>
  <c r="E34"/>
  <c r="E37"/>
  <c r="E41"/>
  <c r="E45"/>
  <c r="E49"/>
  <c r="E38"/>
  <c r="E42"/>
  <c r="E46"/>
  <c r="E50"/>
  <c r="E35"/>
  <c r="E39"/>
  <c r="E43"/>
  <c r="E47"/>
  <c r="E51"/>
  <c r="M41" l="1"/>
  <c r="V21" i="14" s="1"/>
  <c r="M35" i="8"/>
  <c r="F21" i="14" s="1"/>
  <c r="M50" i="8"/>
  <c r="V41" i="14" s="1"/>
  <c r="M38" i="8"/>
  <c r="N21" i="14" s="1"/>
  <c r="N41"/>
  <c r="F41"/>
</calcChain>
</file>

<file path=xl/connections.xml><?xml version="1.0" encoding="utf-8"?>
<connections xmlns="http://schemas.openxmlformats.org/spreadsheetml/2006/main">
  <connection id="1" keepAlive="1" name="u500010117631_HIPERCARD DB_TELEMETRIA_FAI VW_MEDIANA_DISPERSAO_BRASIL" type="5" refreshedVersion="3" saveData="1">
    <dbPr connection="Provider=SQLOLEDB.1;Integrated Security=SSPI;Persist Security Info=True;Initial Catalog=DB_TELEMETRIA_FAI;Data Source=u500010118995;Use Procedure for Prepare=1;Auto Translate=True;Packet Size=4096;Workstation ID=U500010117642;Use Encryption for Data=False;Tag with column collation when possible=False" command="&quot;DB_TELEMETRIA_FAI&quot;.&quot;dbo&quot;.&quot;VW_MEDIANA_DISPERSAO_BRASIL&quot;" commandType="3"/>
  </connection>
  <connection id="2" keepAlive="1" name="u500010117631_HIPERCARD DB_TELEMETRIA_FAI VW_MEDIANA_DISPERSAO_INDICADORES" type="5" refreshedVersion="3" saveData="1">
    <dbPr connection="Provider=SQLOLEDB.1;Integrated Security=SSPI;Persist Security Info=True;Initial Catalog=DB_TELEMETRIA_FAI;Data Source=u500010118995;Use Procedure for Prepare=1;Auto Translate=True;Packet Size=4096;Workstation ID=U500010117642;Use Encryption for Data=False;Tag with column collation when possible=False" command="&quot;DB_TELEMETRIA_FAI&quot;.&quot;dbo&quot;.&quot;VW_MEDIANA_DISPERSAO_INDICADORES&quot;" commandType="3"/>
  </connection>
</connections>
</file>

<file path=xl/sharedStrings.xml><?xml version="1.0" encoding="utf-8"?>
<sst xmlns="http://schemas.openxmlformats.org/spreadsheetml/2006/main" count="303" uniqueCount="58">
  <si>
    <t>Rótulos de Linha</t>
  </si>
  <si>
    <t>Meta</t>
  </si>
  <si>
    <t>Total geral</t>
  </si>
  <si>
    <t>Soma de MEDIANA % Ativacao Imediata</t>
  </si>
  <si>
    <t>NORDESTE</t>
  </si>
  <si>
    <t>NORTE</t>
  </si>
  <si>
    <t>RIO</t>
  </si>
  <si>
    <t>SP1</t>
  </si>
  <si>
    <t>SUL</t>
  </si>
  <si>
    <t>Valores</t>
  </si>
  <si>
    <t>Soma de DESVIO % Ativacao Imediata</t>
  </si>
  <si>
    <t>Soma de MEDIANA indicação/hc</t>
  </si>
  <si>
    <t>Soma de MEDIA indicação/hc</t>
  </si>
  <si>
    <t>Soma de DESVIO indicação/hc</t>
  </si>
  <si>
    <t>Soma de MEDIA % Ativacao Imediata</t>
  </si>
  <si>
    <t>Indicador</t>
  </si>
  <si>
    <t>indicação/hc</t>
  </si>
  <si>
    <t>Mediana</t>
  </si>
  <si>
    <t>Média</t>
  </si>
  <si>
    <t>Desvio</t>
  </si>
  <si>
    <t>Tempo</t>
  </si>
  <si>
    <t>Regiao</t>
  </si>
  <si>
    <t>Soma de Mediana</t>
  </si>
  <si>
    <t>Soma de Média</t>
  </si>
  <si>
    <t>Indicações LASA / HC</t>
  </si>
  <si>
    <t>MG / ES / BA</t>
  </si>
  <si>
    <t>SP2 / Rio Reg Serrana</t>
  </si>
  <si>
    <t>Soma de MEDIANA ATIVIDADES/HC</t>
  </si>
  <si>
    <t>Soma de MEDIA ATIVIDADES/HC</t>
  </si>
  <si>
    <t>Soma de DESVIO ATIVIDADES/HC</t>
  </si>
  <si>
    <t>Soma de MEDIANA CONTAS/HC</t>
  </si>
  <si>
    <t>Soma de MEDIA CONTAS/HC</t>
  </si>
  <si>
    <t>Soma de DESVIO CONTAS/HC</t>
  </si>
  <si>
    <t>Soma de MEDIANA Seguro %</t>
  </si>
  <si>
    <t>Soma de MEDIA Seguro %</t>
  </si>
  <si>
    <t>Soma de DESVIO Seguro %</t>
  </si>
  <si>
    <t>Soma de MEDIANA Paticip %</t>
  </si>
  <si>
    <t>Soma de MEDIA Paticip %</t>
  </si>
  <si>
    <t>Soma de DESVIO Paticip %</t>
  </si>
  <si>
    <t>ATIVIDADES/HC</t>
  </si>
  <si>
    <t>Atividades / HC</t>
  </si>
  <si>
    <t>CONTAS/HC</t>
  </si>
  <si>
    <t>Contas Novas / HC</t>
  </si>
  <si>
    <t>Seguro %</t>
  </si>
  <si>
    <t>Seguros (Penetração Líquida)</t>
  </si>
  <si>
    <t>% Ativacao Imediata</t>
  </si>
  <si>
    <t>Ativação Imediata</t>
  </si>
  <si>
    <t>Paticip %</t>
  </si>
  <si>
    <t>Participação LASA</t>
  </si>
  <si>
    <t>BRASIL</t>
  </si>
  <si>
    <t>Dispersão</t>
  </si>
  <si>
    <t>CENTROESTE</t>
  </si>
  <si>
    <t>Anterior</t>
  </si>
  <si>
    <t>Atual</t>
  </si>
  <si>
    <t>Label Tempo</t>
  </si>
  <si>
    <t>Janeiro 2010</t>
  </si>
  <si>
    <t>Tempo-BD</t>
  </si>
  <si>
    <t>Fevereiro 2010</t>
  </si>
</sst>
</file>

<file path=xl/styles.xml><?xml version="1.0" encoding="utf-8"?>
<styleSheet xmlns="http://schemas.openxmlformats.org/spreadsheetml/2006/main">
  <numFmts count="1">
    <numFmt numFmtId="164" formatCode="0.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2" fillId="0" borderId="1" xfId="0" applyFont="1" applyBorder="1" applyAlignment="1">
      <alignment horizontal="left"/>
    </xf>
    <xf numFmtId="164" fontId="0" fillId="0" borderId="0" xfId="1" applyNumberFormat="1" applyFont="1"/>
    <xf numFmtId="0" fontId="0" fillId="0" borderId="0" xfId="0" applyFill="1"/>
    <xf numFmtId="10" fontId="0" fillId="0" borderId="0" xfId="0" applyNumberFormat="1" applyFill="1"/>
    <xf numFmtId="17" fontId="0" fillId="0" borderId="0" xfId="0" quotePrefix="1" applyNumberFormat="1"/>
    <xf numFmtId="9" fontId="0" fillId="0" borderId="0" xfId="1" applyNumberFormat="1" applyFont="1"/>
    <xf numFmtId="9" fontId="3" fillId="0" borderId="2" xfId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[Dispersao.xlsm]Dados!Tabela dinâmica5</c:name>
    <c:fmtId val="1"/>
  </c:pivotSource>
  <c:chart>
    <c:title>
      <c:tx>
        <c:strRef>
          <c:f>Dados!$I$1</c:f>
          <c:strCache>
            <c:ptCount val="1"/>
            <c:pt idx="0">
              <c:v>Seguros (Penetração Líquida)</c:v>
            </c:pt>
          </c:strCache>
        </c:strRef>
      </c:tx>
      <c:layout/>
      <c:txPr>
        <a:bodyPr/>
        <a:lstStyle/>
        <a:p>
          <a:pPr>
            <a:defRPr sz="2400" b="1" cap="none" spc="0">
              <a:ln w="1905"/>
              <a:gradFill>
                <a:gsLst>
                  <a:gs pos="0">
                    <a:schemeClr val="accent3">
                      <a:lumMod val="50000"/>
                    </a:schemeClr>
                  </a:gs>
                  <a:gs pos="78000">
                    <a:schemeClr val="accent3">
                      <a:lumMod val="40000"/>
                      <a:lumOff val="60000"/>
                    </a:schemeClr>
                  </a:gs>
                  <a:gs pos="100000">
                    <a:schemeClr val="accent3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ivotFmts>
      <c:pivotFmt>
        <c:idx val="0"/>
      </c:pivotFmt>
      <c:pivotFmt>
        <c:idx val="1"/>
        <c:spPr>
          <a:ln>
            <a:noFill/>
          </a:ln>
          <a:effectLst>
            <a:outerShdw blurRad="241300" dist="1257300" dir="5400000" rotWithShape="0">
              <a:prstClr val="black">
                <a:alpha val="15000"/>
              </a:prstClr>
            </a:outerShdw>
          </a:effectLst>
        </c:spPr>
        <c:marker>
          <c:symbol val="circle"/>
          <c:size val="16"/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"/>
        <c:spPr>
          <a:ln>
            <a:noFill/>
          </a:ln>
          <a:effectLst>
            <a:outerShdw blurRad="76200" dist="12700" dir="2700000" sy="-23000" kx="-8004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1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2"/>
      </c:pivotFmt>
      <c:pivotFmt>
        <c:idx val="13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4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5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6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7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8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9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0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1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6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7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2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0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1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6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7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3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0"/>
        <c:marker>
          <c:symbol val="diamond"/>
          <c:size val="24"/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1"/>
        <c:marker>
          <c:symbol val="diamond"/>
          <c:size val="24"/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2"/>
        <c:marker>
          <c:symbol val="diamond"/>
          <c:size val="24"/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3"/>
        <c:marker>
          <c:symbol val="diamond"/>
          <c:size val="24"/>
        </c:marker>
      </c:pivotFmt>
      <c:pivotFmt>
        <c:idx val="44"/>
        <c:marker>
          <c:symbol val="diamond"/>
          <c:size val="24"/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5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6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7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8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49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50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51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52"/>
        <c:marker>
          <c:spPr>
            <a:solidFill>
              <a:srgbClr val="C00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  <c:marker>
          <c:symbol val="diamond"/>
          <c:size val="24"/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6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7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6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0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1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2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3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4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5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6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7"/>
        <c:marker>
          <c:spPr>
            <a:solidFill>
              <a:srgbClr val="00B05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8"/>
        <c:marker>
          <c:symbol val="diamond"/>
          <c:size val="24"/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7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0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1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6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7"/>
        <c:marker>
          <c:symbol val="diamond"/>
          <c:size val="24"/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8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0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1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5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6"/>
        <c:marker>
          <c:symbol val="diamond"/>
          <c:size val="24"/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7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8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99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0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1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2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3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  <c:pivotFmt>
        <c:idx val="104"/>
        <c:marker>
          <c:spPr>
            <a:solidFill>
              <a:srgbClr val="FFC000"/>
            </a:solidFill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</c:marker>
      </c:pivotFmt>
    </c:pivotFmts>
    <c:plotArea>
      <c:layout>
        <c:manualLayout>
          <c:layoutTarget val="inner"/>
          <c:xMode val="edge"/>
          <c:yMode val="edge"/>
          <c:x val="6.5651309874518393E-2"/>
          <c:y val="8.303230717396469E-2"/>
          <c:w val="0.92794656344166249"/>
          <c:h val="0.65731285174139298"/>
        </c:manualLayout>
      </c:layout>
      <c:lineChart>
        <c:grouping val="standard"/>
        <c:ser>
          <c:idx val="0"/>
          <c:order val="0"/>
          <c:tx>
            <c:strRef>
              <c:f>Dados!$K$4:$K$30</c:f>
              <c:strCache>
                <c:ptCount val="1"/>
                <c:pt idx="0">
                  <c:v>Soma de Mediana</c:v>
                </c:pt>
              </c:strCache>
            </c:strRef>
          </c:tx>
          <c:spPr>
            <a:ln>
              <a:noFill/>
            </a:ln>
            <a:effectLst>
              <a:outerShdw blurRad="241300" dist="1257300" dir="5400000" rotWithShape="0">
                <a:prstClr val="black">
                  <a:alpha val="15000"/>
                </a:prstClr>
              </a:outerShdw>
            </a:effectLst>
          </c:spPr>
          <c:marker>
            <c:symbol val="circle"/>
            <c:size val="16"/>
            <c:spPr>
              <a:solidFill>
                <a:srgbClr val="C00000"/>
              </a:solidFill>
              <a:effectLst>
                <a:outerShdw blurRad="241300" dist="1257300" dir="5400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Pt>
            <c:idx val="0"/>
            <c:marker>
              <c:symbol val="diamond"/>
              <c:size val="24"/>
            </c:marker>
          </c:dPt>
          <c:dPt>
            <c:idx val="1"/>
            <c:marker>
              <c:symbol val="diamond"/>
              <c:size val="24"/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"/>
            <c:marker>
              <c:symbol val="diamond"/>
              <c:size val="24"/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4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5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7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8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0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1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3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4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6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7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19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0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2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3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5"/>
            <c:marker>
              <c:spPr>
                <a:solidFill>
                  <a:srgbClr val="FFC00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Pt>
            <c:idx val="26"/>
            <c:marker>
              <c:spPr>
                <a:solidFill>
                  <a:srgbClr val="00B050"/>
                </a:solidFill>
                <a:effectLst>
                  <a:outerShdw blurRad="241300" dist="1257300" dir="5400000" rotWithShape="0">
                    <a:prstClr val="black">
                      <a:alpha val="15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</c:dPt>
          <c:dLbls>
            <c:delete val="1"/>
          </c:dLbls>
          <c:cat>
            <c:multiLvlStrRef>
              <c:f>Dados!$K$4:$K$30</c:f>
              <c:multiLvlStrCache>
                <c:ptCount val="27"/>
                <c:lvl>
                  <c:pt idx="0">
                    <c:v>Janeiro 2010</c:v>
                  </c:pt>
                  <c:pt idx="1">
                    <c:v>Fevereiro 2010</c:v>
                  </c:pt>
                  <c:pt idx="2">
                    <c:v>Meta</c:v>
                  </c:pt>
                  <c:pt idx="3">
                    <c:v>Janeiro 2010</c:v>
                  </c:pt>
                  <c:pt idx="4">
                    <c:v>Fevereiro 2010</c:v>
                  </c:pt>
                  <c:pt idx="5">
                    <c:v>Meta</c:v>
                  </c:pt>
                  <c:pt idx="6">
                    <c:v>Janeiro 2010</c:v>
                  </c:pt>
                  <c:pt idx="7">
                    <c:v>Fevereiro 2010</c:v>
                  </c:pt>
                  <c:pt idx="8">
                    <c:v>Meta</c:v>
                  </c:pt>
                  <c:pt idx="9">
                    <c:v>Janeiro 2010</c:v>
                  </c:pt>
                  <c:pt idx="10">
                    <c:v>Fevereiro 2010</c:v>
                  </c:pt>
                  <c:pt idx="11">
                    <c:v>Meta</c:v>
                  </c:pt>
                  <c:pt idx="12">
                    <c:v>Janeiro 2010</c:v>
                  </c:pt>
                  <c:pt idx="13">
                    <c:v>Fevereiro 2010</c:v>
                  </c:pt>
                  <c:pt idx="14">
                    <c:v>Meta</c:v>
                  </c:pt>
                  <c:pt idx="15">
                    <c:v>Janeiro 2010</c:v>
                  </c:pt>
                  <c:pt idx="16">
                    <c:v>Fevereiro 2010</c:v>
                  </c:pt>
                  <c:pt idx="17">
                    <c:v>Meta</c:v>
                  </c:pt>
                  <c:pt idx="18">
                    <c:v>Janeiro 2010</c:v>
                  </c:pt>
                  <c:pt idx="19">
                    <c:v>Fevereiro 2010</c:v>
                  </c:pt>
                  <c:pt idx="20">
                    <c:v>Meta</c:v>
                  </c:pt>
                  <c:pt idx="21">
                    <c:v>Janeiro 2010</c:v>
                  </c:pt>
                  <c:pt idx="22">
                    <c:v>Fevereiro 2010</c:v>
                  </c:pt>
                  <c:pt idx="23">
                    <c:v>Meta</c:v>
                  </c:pt>
                  <c:pt idx="24">
                    <c:v>Janeiro 2010</c:v>
                  </c:pt>
                  <c:pt idx="25">
                    <c:v>Fevereiro 2010</c:v>
                  </c:pt>
                  <c:pt idx="26">
                    <c:v>Meta</c:v>
                  </c:pt>
                </c:lvl>
                <c:lvl>
                  <c:pt idx="0">
                    <c:v>BRASIL</c:v>
                  </c:pt>
                  <c:pt idx="3">
                    <c:v>CENTROESTE</c:v>
                  </c:pt>
                  <c:pt idx="6">
                    <c:v>NORDESTE</c:v>
                  </c:pt>
                  <c:pt idx="9">
                    <c:v>NORTE</c:v>
                  </c:pt>
                  <c:pt idx="12">
                    <c:v>RIO</c:v>
                  </c:pt>
                  <c:pt idx="15">
                    <c:v>SP1</c:v>
                  </c:pt>
                  <c:pt idx="18">
                    <c:v>SUL</c:v>
                  </c:pt>
                  <c:pt idx="21">
                    <c:v>MG / ES / BA</c:v>
                  </c:pt>
                  <c:pt idx="24">
                    <c:v>SP2 / Rio Reg Serrana</c:v>
                  </c:pt>
                </c:lvl>
              </c:multiLvlStrCache>
            </c:multiLvlStrRef>
          </c:cat>
          <c:val>
            <c:numRef>
              <c:f>Dados!$K$4:$K$30</c:f>
              <c:numCache>
                <c:formatCode>General</c:formatCode>
                <c:ptCount val="27"/>
                <c:pt idx="0">
                  <c:v>0.48786407766990292</c:v>
                </c:pt>
                <c:pt idx="1">
                  <c:v>0.54004576659038905</c:v>
                </c:pt>
                <c:pt idx="2">
                  <c:v>0.6</c:v>
                </c:pt>
                <c:pt idx="3">
                  <c:v>0.51491053677932408</c:v>
                </c:pt>
                <c:pt idx="4">
                  <c:v>0.54090909090909089</c:v>
                </c:pt>
                <c:pt idx="5">
                  <c:v>0.6</c:v>
                </c:pt>
                <c:pt idx="6">
                  <c:v>0.57860615883306321</c:v>
                </c:pt>
                <c:pt idx="7">
                  <c:v>0.56804733727810652</c:v>
                </c:pt>
                <c:pt idx="8">
                  <c:v>0.6</c:v>
                </c:pt>
                <c:pt idx="9">
                  <c:v>0.60263291139240505</c:v>
                </c:pt>
                <c:pt idx="10">
                  <c:v>0.65227440995359087</c:v>
                </c:pt>
                <c:pt idx="11">
                  <c:v>0.6</c:v>
                </c:pt>
                <c:pt idx="12">
                  <c:v>0.50316455696202533</c:v>
                </c:pt>
                <c:pt idx="13">
                  <c:v>0.54680530149866824</c:v>
                </c:pt>
                <c:pt idx="14">
                  <c:v>0.6</c:v>
                </c:pt>
                <c:pt idx="15">
                  <c:v>0.59655870445344128</c:v>
                </c:pt>
                <c:pt idx="16">
                  <c:v>0.59323232323232322</c:v>
                </c:pt>
                <c:pt idx="17">
                  <c:v>0.6</c:v>
                </c:pt>
                <c:pt idx="18">
                  <c:v>0.33936651583710409</c:v>
                </c:pt>
                <c:pt idx="19">
                  <c:v>0.47096774193548385</c:v>
                </c:pt>
                <c:pt idx="20">
                  <c:v>0.6</c:v>
                </c:pt>
                <c:pt idx="21">
                  <c:v>0.41859248001549593</c:v>
                </c:pt>
                <c:pt idx="22">
                  <c:v>0.43960483960483965</c:v>
                </c:pt>
                <c:pt idx="23">
                  <c:v>0.6</c:v>
                </c:pt>
                <c:pt idx="24">
                  <c:v>0.42020560317929517</c:v>
                </c:pt>
                <c:pt idx="25">
                  <c:v>0.51135849909584086</c:v>
                </c:pt>
                <c:pt idx="26">
                  <c:v>0.6</c:v>
                </c:pt>
              </c:numCache>
            </c:numRef>
          </c:val>
        </c:ser>
        <c:ser>
          <c:idx val="1"/>
          <c:order val="1"/>
          <c:tx>
            <c:strRef>
              <c:f>Dados!$K$4:$K$30</c:f>
              <c:strCache>
                <c:ptCount val="1"/>
                <c:pt idx="0">
                  <c:v>Soma de Média</c:v>
                </c:pt>
              </c:strCache>
            </c:strRef>
          </c:tx>
          <c:spPr>
            <a:ln>
              <a:noFill/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dLbls>
            <c:delete val="1"/>
          </c:dLbls>
          <c:errBars>
            <c:errDir val="y"/>
            <c:errBarType val="both"/>
            <c:errValType val="cust"/>
            <c:plus>
              <c:numRef>
                <c:f>Dados!$K$4:$K$30</c:f>
                <c:numCache>
                  <c:formatCode>General</c:formatCode>
                  <c:ptCount val="27"/>
                  <c:pt idx="0">
                    <c:v>0.22363371946630728</c:v>
                  </c:pt>
                  <c:pt idx="1">
                    <c:v>0.22717229528854838</c:v>
                  </c:pt>
                  <c:pt idx="2">
                    <c:v>0</c:v>
                  </c:pt>
                  <c:pt idx="3">
                    <c:v>0.19085842281328205</c:v>
                  </c:pt>
                  <c:pt idx="4">
                    <c:v>0.18937263888167921</c:v>
                  </c:pt>
                  <c:pt idx="5">
                    <c:v>0</c:v>
                  </c:pt>
                  <c:pt idx="6">
                    <c:v>0.1772906880829917</c:v>
                  </c:pt>
                  <c:pt idx="7">
                    <c:v>0.22586334224169854</c:v>
                  </c:pt>
                  <c:pt idx="8">
                    <c:v>0</c:v>
                  </c:pt>
                  <c:pt idx="9">
                    <c:v>0.17883114315186963</c:v>
                  </c:pt>
                  <c:pt idx="10">
                    <c:v>0.14653766853037625</c:v>
                  </c:pt>
                  <c:pt idx="11">
                    <c:v>0</c:v>
                  </c:pt>
                  <c:pt idx="12">
                    <c:v>0.20274757987906766</c:v>
                  </c:pt>
                  <c:pt idx="13">
                    <c:v>0.23117928825172901</c:v>
                  </c:pt>
                  <c:pt idx="14">
                    <c:v>0</c:v>
                  </c:pt>
                  <c:pt idx="15">
                    <c:v>0.20579781955678655</c:v>
                  </c:pt>
                  <c:pt idx="16">
                    <c:v>0.23490367374674354</c:v>
                  </c:pt>
                  <c:pt idx="17">
                    <c:v>0</c:v>
                  </c:pt>
                  <c:pt idx="18">
                    <c:v>0.2767166198158143</c:v>
                  </c:pt>
                  <c:pt idx="19">
                    <c:v>0.25252553438387776</c:v>
                  </c:pt>
                  <c:pt idx="20">
                    <c:v>0</c:v>
                  </c:pt>
                  <c:pt idx="21">
                    <c:v>0.22145078098671081</c:v>
                  </c:pt>
                  <c:pt idx="22">
                    <c:v>0.21535667245069504</c:v>
                  </c:pt>
                  <c:pt idx="23">
                    <c:v>0</c:v>
                  </c:pt>
                  <c:pt idx="24">
                    <c:v>0.23563552340015342</c:v>
                  </c:pt>
                  <c:pt idx="25">
                    <c:v>0.24748323893628979</c:v>
                  </c:pt>
                  <c:pt idx="26">
                    <c:v>0</c:v>
                  </c:pt>
                </c:numCache>
              </c:numRef>
            </c:plus>
            <c:minus>
              <c:numRef>
                <c:f>Dados!$K$4:$K$30</c:f>
                <c:numCache>
                  <c:formatCode>General</c:formatCode>
                  <c:ptCount val="27"/>
                  <c:pt idx="0">
                    <c:v>0.22363371946630728</c:v>
                  </c:pt>
                  <c:pt idx="1">
                    <c:v>0.22717229528854838</c:v>
                  </c:pt>
                  <c:pt idx="2">
                    <c:v>0</c:v>
                  </c:pt>
                  <c:pt idx="3">
                    <c:v>0.19085842281328205</c:v>
                  </c:pt>
                  <c:pt idx="4">
                    <c:v>0.18937263888167921</c:v>
                  </c:pt>
                  <c:pt idx="5">
                    <c:v>0</c:v>
                  </c:pt>
                  <c:pt idx="6">
                    <c:v>0.1772906880829917</c:v>
                  </c:pt>
                  <c:pt idx="7">
                    <c:v>0.22586334224169854</c:v>
                  </c:pt>
                  <c:pt idx="8">
                    <c:v>0</c:v>
                  </c:pt>
                  <c:pt idx="9">
                    <c:v>0.17883114315186963</c:v>
                  </c:pt>
                  <c:pt idx="10">
                    <c:v>0.14653766853037625</c:v>
                  </c:pt>
                  <c:pt idx="11">
                    <c:v>0</c:v>
                  </c:pt>
                  <c:pt idx="12">
                    <c:v>0.20274757987906766</c:v>
                  </c:pt>
                  <c:pt idx="13">
                    <c:v>0.23117928825172901</c:v>
                  </c:pt>
                  <c:pt idx="14">
                    <c:v>0</c:v>
                  </c:pt>
                  <c:pt idx="15">
                    <c:v>0.20579781955678655</c:v>
                  </c:pt>
                  <c:pt idx="16">
                    <c:v>0.23490367374674354</c:v>
                  </c:pt>
                  <c:pt idx="17">
                    <c:v>0</c:v>
                  </c:pt>
                  <c:pt idx="18">
                    <c:v>0.2767166198158143</c:v>
                  </c:pt>
                  <c:pt idx="19">
                    <c:v>0.25252553438387776</c:v>
                  </c:pt>
                  <c:pt idx="20">
                    <c:v>0</c:v>
                  </c:pt>
                  <c:pt idx="21">
                    <c:v>0.22145078098671081</c:v>
                  </c:pt>
                  <c:pt idx="22">
                    <c:v>0.21535667245069504</c:v>
                  </c:pt>
                  <c:pt idx="23">
                    <c:v>0</c:v>
                  </c:pt>
                  <c:pt idx="24">
                    <c:v>0.23563552340015342</c:v>
                  </c:pt>
                  <c:pt idx="25">
                    <c:v>0.24748323893628979</c:v>
                  </c:pt>
                  <c:pt idx="26">
                    <c:v>0</c:v>
                  </c:pt>
                </c:numCache>
              </c:numRef>
            </c:minus>
            <c:spPr>
              <a:ln w="19050"/>
              <a:effectLst>
                <a:outerShdw blurRad="114300" dist="1244600" dir="5400000" rotWithShape="0">
                  <a:prstClr val="black">
                    <a:alpha val="15000"/>
                  </a:prstClr>
                </a:outerShdw>
              </a:effectLst>
            </c:spPr>
          </c:errBars>
          <c:cat>
            <c:multiLvlStrRef>
              <c:f>Dados!$K$4:$K$30</c:f>
              <c:multiLvlStrCache>
                <c:ptCount val="27"/>
                <c:lvl>
                  <c:pt idx="0">
                    <c:v>Janeiro 2010</c:v>
                  </c:pt>
                  <c:pt idx="1">
                    <c:v>Fevereiro 2010</c:v>
                  </c:pt>
                  <c:pt idx="2">
                    <c:v>Meta</c:v>
                  </c:pt>
                  <c:pt idx="3">
                    <c:v>Janeiro 2010</c:v>
                  </c:pt>
                  <c:pt idx="4">
                    <c:v>Fevereiro 2010</c:v>
                  </c:pt>
                  <c:pt idx="5">
                    <c:v>Meta</c:v>
                  </c:pt>
                  <c:pt idx="6">
                    <c:v>Janeiro 2010</c:v>
                  </c:pt>
                  <c:pt idx="7">
                    <c:v>Fevereiro 2010</c:v>
                  </c:pt>
                  <c:pt idx="8">
                    <c:v>Meta</c:v>
                  </c:pt>
                  <c:pt idx="9">
                    <c:v>Janeiro 2010</c:v>
                  </c:pt>
                  <c:pt idx="10">
                    <c:v>Fevereiro 2010</c:v>
                  </c:pt>
                  <c:pt idx="11">
                    <c:v>Meta</c:v>
                  </c:pt>
                  <c:pt idx="12">
                    <c:v>Janeiro 2010</c:v>
                  </c:pt>
                  <c:pt idx="13">
                    <c:v>Fevereiro 2010</c:v>
                  </c:pt>
                  <c:pt idx="14">
                    <c:v>Meta</c:v>
                  </c:pt>
                  <c:pt idx="15">
                    <c:v>Janeiro 2010</c:v>
                  </c:pt>
                  <c:pt idx="16">
                    <c:v>Fevereiro 2010</c:v>
                  </c:pt>
                  <c:pt idx="17">
                    <c:v>Meta</c:v>
                  </c:pt>
                  <c:pt idx="18">
                    <c:v>Janeiro 2010</c:v>
                  </c:pt>
                  <c:pt idx="19">
                    <c:v>Fevereiro 2010</c:v>
                  </c:pt>
                  <c:pt idx="20">
                    <c:v>Meta</c:v>
                  </c:pt>
                  <c:pt idx="21">
                    <c:v>Janeiro 2010</c:v>
                  </c:pt>
                  <c:pt idx="22">
                    <c:v>Fevereiro 2010</c:v>
                  </c:pt>
                  <c:pt idx="23">
                    <c:v>Meta</c:v>
                  </c:pt>
                  <c:pt idx="24">
                    <c:v>Janeiro 2010</c:v>
                  </c:pt>
                  <c:pt idx="25">
                    <c:v>Fevereiro 2010</c:v>
                  </c:pt>
                  <c:pt idx="26">
                    <c:v>Meta</c:v>
                  </c:pt>
                </c:lvl>
                <c:lvl>
                  <c:pt idx="0">
                    <c:v>BRASIL</c:v>
                  </c:pt>
                  <c:pt idx="3">
                    <c:v>CENTROESTE</c:v>
                  </c:pt>
                  <c:pt idx="6">
                    <c:v>NORDESTE</c:v>
                  </c:pt>
                  <c:pt idx="9">
                    <c:v>NORTE</c:v>
                  </c:pt>
                  <c:pt idx="12">
                    <c:v>RIO</c:v>
                  </c:pt>
                  <c:pt idx="15">
                    <c:v>SP1</c:v>
                  </c:pt>
                  <c:pt idx="18">
                    <c:v>SUL</c:v>
                  </c:pt>
                  <c:pt idx="21">
                    <c:v>MG / ES / BA</c:v>
                  </c:pt>
                  <c:pt idx="24">
                    <c:v>SP2 / Rio Reg Serrana</c:v>
                  </c:pt>
                </c:lvl>
              </c:multiLvlStrCache>
            </c:multiLvlStrRef>
          </c:cat>
          <c:val>
            <c:numRef>
              <c:f>Dados!$K$4:$K$30</c:f>
              <c:numCache>
                <c:formatCode>General</c:formatCode>
                <c:ptCount val="27"/>
                <c:pt idx="0">
                  <c:v>0.47764235930934817</c:v>
                </c:pt>
                <c:pt idx="1">
                  <c:v>0.50205680089325544</c:v>
                </c:pt>
                <c:pt idx="2">
                  <c:v>0.6</c:v>
                </c:pt>
                <c:pt idx="3">
                  <c:v>0.51968623104921219</c:v>
                </c:pt>
                <c:pt idx="4">
                  <c:v>0.52588167363768146</c:v>
                </c:pt>
                <c:pt idx="5">
                  <c:v>0.6</c:v>
                </c:pt>
                <c:pt idx="6">
                  <c:v>0.54553446040874465</c:v>
                </c:pt>
                <c:pt idx="7">
                  <c:v>0.52378701642929337</c:v>
                </c:pt>
                <c:pt idx="8">
                  <c:v>0.6</c:v>
                </c:pt>
                <c:pt idx="9">
                  <c:v>0.58517912444499942</c:v>
                </c:pt>
                <c:pt idx="10">
                  <c:v>0.64840933545639179</c:v>
                </c:pt>
                <c:pt idx="11">
                  <c:v>0.6</c:v>
                </c:pt>
                <c:pt idx="12">
                  <c:v>0.50482781675614841</c:v>
                </c:pt>
                <c:pt idx="13">
                  <c:v>0.49351601771153619</c:v>
                </c:pt>
                <c:pt idx="14">
                  <c:v>0.6</c:v>
                </c:pt>
                <c:pt idx="15">
                  <c:v>0.53151927442584634</c:v>
                </c:pt>
                <c:pt idx="16">
                  <c:v>0.5319946313207421</c:v>
                </c:pt>
                <c:pt idx="17">
                  <c:v>0.6</c:v>
                </c:pt>
                <c:pt idx="18">
                  <c:v>0.35875812230661119</c:v>
                </c:pt>
                <c:pt idx="19">
                  <c:v>0.4463172706544139</c:v>
                </c:pt>
                <c:pt idx="20">
                  <c:v>0.6</c:v>
                </c:pt>
                <c:pt idx="21">
                  <c:v>0.37210538877479987</c:v>
                </c:pt>
                <c:pt idx="22">
                  <c:v>0.38767780836044807</c:v>
                </c:pt>
                <c:pt idx="23">
                  <c:v>0.6</c:v>
                </c:pt>
                <c:pt idx="24">
                  <c:v>0.40666334551499389</c:v>
                </c:pt>
                <c:pt idx="25">
                  <c:v>0.47354656624934605</c:v>
                </c:pt>
                <c:pt idx="26">
                  <c:v>0.6</c:v>
                </c:pt>
              </c:numCache>
            </c:numRef>
          </c:val>
        </c:ser>
        <c:dLbls>
          <c:showVal val="1"/>
        </c:dLbls>
        <c:marker val="1"/>
        <c:axId val="112896640"/>
        <c:axId val="112906624"/>
      </c:lineChart>
      <c:catAx>
        <c:axId val="11289664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00"/>
            </a:pPr>
            <a:endParaRPr lang="pt-BR"/>
          </a:p>
        </c:txPr>
        <c:crossAx val="112906624"/>
        <c:crosses val="autoZero"/>
        <c:auto val="1"/>
        <c:lblAlgn val="ctr"/>
        <c:lblOffset val="100"/>
      </c:catAx>
      <c:valAx>
        <c:axId val="112906624"/>
        <c:scaling>
          <c:orientation val="minMax"/>
        </c:scaling>
        <c:axPos val="l"/>
        <c:numFmt formatCode="0.0%" sourceLinked="0"/>
        <c:tickLblPos val="nextTo"/>
        <c:crossAx val="112896640"/>
        <c:crosses val="autoZero"/>
        <c:crossBetween val="between"/>
      </c:valAx>
    </c:plotArea>
    <c:plotVisOnly val="1"/>
  </c:chart>
  <c:spPr>
    <a:ln>
      <a:noFill/>
    </a:ln>
  </c:spPr>
  <c:txPr>
    <a:bodyPr/>
    <a:lstStyle/>
    <a:p>
      <a:pPr>
        <a:defRPr b="1"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Dados!$E$34</c:f>
          <c:strCache>
            <c:ptCount val="1"/>
            <c:pt idx="0">
              <c:v>Indicações LASA / HC - NORDESTE</c:v>
            </c:pt>
          </c:strCache>
        </c:strRef>
      </c:tx>
      <c:layout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76"/>
          <c:w val="0.93863318038484511"/>
          <c:h val="0.69004658671526165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dLbls>
            <c:numFmt formatCode="#,##0.0" sourceLinked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Dados!$I$34:$I$35</c:f>
              <c:numCache>
                <c:formatCode>General</c:formatCode>
                <c:ptCount val="2"/>
                <c:pt idx="0">
                  <c:v>0.66142857142857137</c:v>
                </c:pt>
                <c:pt idx="1">
                  <c:v>0.58152173913043481</c:v>
                </c:pt>
              </c:numCache>
            </c:numRef>
          </c:val>
        </c:ser>
        <c:dLbls>
          <c:showVal val="1"/>
        </c:dLbls>
        <c:overlap val="-25"/>
        <c:axId val="113320704"/>
        <c:axId val="113322240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6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sz="1050"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Dados!$L$34:$L$35</c:f>
              <c:numCache>
                <c:formatCode>General</c:formatCode>
                <c:ptCount val="2"/>
                <c:pt idx="0">
                  <c:v>0.38774987283470208</c:v>
                </c:pt>
                <c:pt idx="1">
                  <c:v>0.47484893961654384</c:v>
                </c:pt>
              </c:numCache>
            </c:numRef>
          </c:val>
        </c:ser>
        <c:dLbls>
          <c:showVal val="1"/>
        </c:dLbls>
        <c:marker val="1"/>
        <c:axId val="113381376"/>
        <c:axId val="113408256"/>
      </c:lineChart>
      <c:catAx>
        <c:axId val="11332070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322240"/>
        <c:crosses val="autoZero"/>
        <c:auto val="1"/>
        <c:lblAlgn val="ctr"/>
        <c:lblOffset val="100"/>
      </c:catAx>
      <c:valAx>
        <c:axId val="113322240"/>
        <c:scaling>
          <c:orientation val="minMax"/>
        </c:scaling>
        <c:delete val="1"/>
        <c:axPos val="l"/>
        <c:numFmt formatCode="General" sourceLinked="1"/>
        <c:tickLblPos val="nextTo"/>
        <c:crossAx val="113320704"/>
        <c:crosses val="autoZero"/>
        <c:crossBetween val="between"/>
      </c:valAx>
      <c:valAx>
        <c:axId val="113408256"/>
        <c:scaling>
          <c:orientation val="minMax"/>
        </c:scaling>
        <c:delete val="1"/>
        <c:axPos val="r"/>
        <c:numFmt formatCode="0.0%" sourceLinked="0"/>
        <c:tickLblPos val="nextTo"/>
        <c:crossAx val="113381376"/>
        <c:crosses val="max"/>
        <c:crossBetween val="between"/>
      </c:valAx>
      <c:catAx>
        <c:axId val="113381376"/>
        <c:scaling>
          <c:orientation val="minMax"/>
        </c:scaling>
        <c:delete val="1"/>
        <c:axPos val="b"/>
        <c:tickLblPos val="nextTo"/>
        <c:crossAx val="113408256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Dados!$E$37</c:f>
          <c:strCache>
            <c:ptCount val="1"/>
            <c:pt idx="0">
              <c:v>Atividades / HC - NORDESTE</c:v>
            </c:pt>
          </c:strCache>
        </c:strRef>
      </c:tx>
      <c:layout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tx2"/>
                  </a:gs>
                  <a:gs pos="78000">
                    <a:schemeClr val="tx2">
                      <a:lumMod val="60000"/>
                      <a:lumOff val="40000"/>
                    </a:schemeClr>
                  </a:gs>
                  <a:gs pos="100000">
                    <a:schemeClr val="tx2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82"/>
          <c:w val="0.93863318038484511"/>
          <c:h val="0.69004658671526131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chemeClr val="accent1"/>
            </a:solidFill>
          </c:spPr>
          <c:dLbls>
            <c:dLbl>
              <c:idx val="0"/>
              <c:numFmt formatCode="#,##0.0" sourceLinked="0"/>
              <c:spPr>
                <a:gradFill rotWithShape="1">
                  <a:gsLst>
                    <a:gs pos="0">
                      <a:schemeClr val="accent1">
                        <a:tint val="50000"/>
                        <a:satMod val="300000"/>
                      </a:schemeClr>
                    </a:gs>
                    <a:gs pos="35000">
                      <a:schemeClr val="accent1">
                        <a:tint val="37000"/>
                        <a:satMod val="300000"/>
                      </a:schemeClr>
                    </a:gs>
                    <a:gs pos="100000">
                      <a:schemeClr val="accent1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1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dLbl>
            <c:numFmt formatCode="#,##0.0" sourceLinked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Dados!$I$37:$I$38</c:f>
              <c:numCache>
                <c:formatCode>General</c:formatCode>
                <c:ptCount val="2"/>
                <c:pt idx="0">
                  <c:v>14.689090909090909</c:v>
                </c:pt>
                <c:pt idx="1">
                  <c:v>13.344861660079051</c:v>
                </c:pt>
              </c:numCache>
            </c:numRef>
          </c:val>
        </c:ser>
        <c:dLbls>
          <c:showVal val="1"/>
        </c:dLbls>
        <c:overlap val="-25"/>
        <c:axId val="113453696"/>
        <c:axId val="113463680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1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Dados!$H$37:$H$38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Dados!$L$37:$L$38</c:f>
              <c:numCache>
                <c:formatCode>General</c:formatCode>
                <c:ptCount val="2"/>
                <c:pt idx="0">
                  <c:v>0.24662220519261319</c:v>
                </c:pt>
                <c:pt idx="1">
                  <c:v>0.34188341700032543</c:v>
                </c:pt>
              </c:numCache>
            </c:numRef>
          </c:val>
        </c:ser>
        <c:dLbls>
          <c:showVal val="1"/>
        </c:dLbls>
        <c:marker val="1"/>
        <c:axId val="113466752"/>
        <c:axId val="113465216"/>
      </c:lineChart>
      <c:catAx>
        <c:axId val="11345369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463680"/>
        <c:crosses val="autoZero"/>
        <c:auto val="1"/>
        <c:lblAlgn val="ctr"/>
        <c:lblOffset val="100"/>
      </c:catAx>
      <c:valAx>
        <c:axId val="113463680"/>
        <c:scaling>
          <c:orientation val="minMax"/>
        </c:scaling>
        <c:delete val="1"/>
        <c:axPos val="l"/>
        <c:numFmt formatCode="General" sourceLinked="1"/>
        <c:tickLblPos val="nextTo"/>
        <c:crossAx val="113453696"/>
        <c:crosses val="autoZero"/>
        <c:crossBetween val="between"/>
      </c:valAx>
      <c:valAx>
        <c:axId val="113465216"/>
        <c:scaling>
          <c:orientation val="minMax"/>
        </c:scaling>
        <c:delete val="1"/>
        <c:axPos val="r"/>
        <c:numFmt formatCode="0.0%" sourceLinked="0"/>
        <c:tickLblPos val="nextTo"/>
        <c:crossAx val="113466752"/>
        <c:crosses val="max"/>
        <c:crossBetween val="between"/>
      </c:valAx>
      <c:catAx>
        <c:axId val="113466752"/>
        <c:scaling>
          <c:orientation val="minMax"/>
        </c:scaling>
        <c:delete val="1"/>
        <c:axPos val="b"/>
        <c:tickLblPos val="nextTo"/>
        <c:crossAx val="113465216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rgbClr val="1F497D"/>
                  </a:gs>
                  <a:gs pos="78000">
                    <a:srgbClr val="1F497D">
                      <a:lumMod val="40000"/>
                      <a:lumOff val="60000"/>
                    </a:srgbClr>
                  </a:gs>
                  <a:gs pos="100000">
                    <a:schemeClr val="accent1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41" footer="0.3149606200000014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Dados!$E$40</c:f>
          <c:strCache>
            <c:ptCount val="1"/>
            <c:pt idx="0">
              <c:v>Contas Novas / HC - NORDESTE</c:v>
            </c:pt>
          </c:strCache>
        </c:strRef>
      </c:tx>
      <c:layout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4">
                      <a:lumMod val="75000"/>
                    </a:schemeClr>
                  </a:gs>
                  <a:gs pos="78000">
                    <a:schemeClr val="accent4">
                      <a:lumMod val="40000"/>
                      <a:lumOff val="6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93"/>
          <c:w val="0.93863318038484511"/>
          <c:h val="0.69004658671526109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chemeClr val="accent4"/>
            </a:solidFill>
          </c:spPr>
          <c:dLbls>
            <c:numFmt formatCode="#,##0.0" sourceLinked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Dados!$I$40:$I$41</c:f>
              <c:numCache>
                <c:formatCode>General</c:formatCode>
                <c:ptCount val="2"/>
                <c:pt idx="0">
                  <c:v>3.0133333333333332</c:v>
                </c:pt>
                <c:pt idx="1">
                  <c:v>2.666666666666667</c:v>
                </c:pt>
              </c:numCache>
            </c:numRef>
          </c:val>
        </c:ser>
        <c:dLbls>
          <c:showVal val="1"/>
        </c:dLbls>
        <c:overlap val="-25"/>
        <c:axId val="113497984"/>
        <c:axId val="113499520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4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Dados!$L$40:$L$41</c:f>
              <c:numCache>
                <c:formatCode>General</c:formatCode>
                <c:ptCount val="2"/>
                <c:pt idx="0">
                  <c:v>0.21048461915007499</c:v>
                </c:pt>
                <c:pt idx="1">
                  <c:v>0.29501213180870439</c:v>
                </c:pt>
              </c:numCache>
            </c:numRef>
          </c:val>
        </c:ser>
        <c:dLbls>
          <c:showVal val="1"/>
        </c:dLbls>
        <c:marker val="1"/>
        <c:axId val="113777280"/>
        <c:axId val="113775744"/>
      </c:lineChart>
      <c:catAx>
        <c:axId val="11349798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499520"/>
        <c:crosses val="autoZero"/>
        <c:auto val="1"/>
        <c:lblAlgn val="ctr"/>
        <c:lblOffset val="100"/>
      </c:catAx>
      <c:valAx>
        <c:axId val="113499520"/>
        <c:scaling>
          <c:orientation val="minMax"/>
        </c:scaling>
        <c:delete val="1"/>
        <c:axPos val="l"/>
        <c:numFmt formatCode="General" sourceLinked="1"/>
        <c:tickLblPos val="nextTo"/>
        <c:crossAx val="113497984"/>
        <c:crosses val="autoZero"/>
        <c:crossBetween val="between"/>
      </c:valAx>
      <c:valAx>
        <c:axId val="113775744"/>
        <c:scaling>
          <c:orientation val="minMax"/>
        </c:scaling>
        <c:delete val="1"/>
        <c:axPos val="r"/>
        <c:numFmt formatCode="0.0%" sourceLinked="0"/>
        <c:tickLblPos val="nextTo"/>
        <c:crossAx val="113777280"/>
        <c:crosses val="max"/>
        <c:crossBetween val="between"/>
      </c:valAx>
      <c:catAx>
        <c:axId val="113777280"/>
        <c:scaling>
          <c:orientation val="minMax"/>
        </c:scaling>
        <c:delete val="1"/>
        <c:axPos val="b"/>
        <c:tickLblPos val="nextTo"/>
        <c:crossAx val="113775744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rgbClr val="8064A2">
                      <a:lumMod val="75000"/>
                    </a:srgbClr>
                  </a:gs>
                  <a:gs pos="78000">
                    <a:srgbClr val="8064A2">
                      <a:lumMod val="40000"/>
                      <a:lumOff val="60000"/>
                    </a:srgb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52" footer="0.3149606200000015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Dados!$E$44</c:f>
          <c:strCache>
            <c:ptCount val="1"/>
            <c:pt idx="0">
              <c:v>Seguros (Penetração Líquida) - NORDESTE</c:v>
            </c:pt>
          </c:strCache>
        </c:strRef>
      </c:tx>
      <c:layout/>
      <c:txPr>
        <a:bodyPr/>
        <a:lstStyle/>
        <a:p>
          <a:pPr>
            <a:defRPr sz="1400" b="1" cap="none" spc="0">
              <a:ln w="1905"/>
              <a:gradFill>
                <a:gsLst>
                  <a:gs pos="0">
                    <a:schemeClr val="accent3">
                      <a:lumMod val="75000"/>
                    </a:schemeClr>
                  </a:gs>
                  <a:gs pos="78000">
                    <a:schemeClr val="accent3">
                      <a:lumMod val="40000"/>
                      <a:lumOff val="60000"/>
                    </a:schemeClr>
                  </a:gs>
                  <a:gs pos="100000">
                    <a:schemeClr val="accent3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82"/>
          <c:w val="0.93863318038484511"/>
          <c:h val="0.69004658671526131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dLbls>
            <c:numFmt formatCode="0.0%" sourceLinked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Dados!$I$43:$I$44</c:f>
              <c:numCache>
                <c:formatCode>General</c:formatCode>
                <c:ptCount val="2"/>
                <c:pt idx="0">
                  <c:v>0.57860615883306321</c:v>
                </c:pt>
                <c:pt idx="1">
                  <c:v>0.56804733727810652</c:v>
                </c:pt>
              </c:numCache>
            </c:numRef>
          </c:val>
        </c:ser>
        <c:dLbls>
          <c:showVal val="1"/>
        </c:dLbls>
        <c:overlap val="-25"/>
        <c:axId val="113824896"/>
        <c:axId val="113826432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solidFill>
                <a:schemeClr val="accent3">
                  <a:lumMod val="50000"/>
                </a:schemeClr>
              </a:solidFill>
              <a:ln>
                <a:solidFill>
                  <a:srgbClr val="9BBB59">
                    <a:lumMod val="50000"/>
                  </a:srgb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3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Dados!$H$43:$H$44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Dados!$L$43:$L$44</c:f>
              <c:numCache>
                <c:formatCode>General</c:formatCode>
                <c:ptCount val="2"/>
                <c:pt idx="0">
                  <c:v>0.32498531431021915</c:v>
                </c:pt>
                <c:pt idx="1">
                  <c:v>0.43121218196936367</c:v>
                </c:pt>
              </c:numCache>
            </c:numRef>
          </c:val>
        </c:ser>
        <c:dLbls>
          <c:showVal val="1"/>
        </c:dLbls>
        <c:marker val="1"/>
        <c:axId val="113829760"/>
        <c:axId val="113828224"/>
      </c:lineChart>
      <c:catAx>
        <c:axId val="11382489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826432"/>
        <c:crosses val="autoZero"/>
        <c:auto val="1"/>
        <c:lblAlgn val="ctr"/>
        <c:lblOffset val="100"/>
      </c:catAx>
      <c:valAx>
        <c:axId val="113826432"/>
        <c:scaling>
          <c:orientation val="minMax"/>
        </c:scaling>
        <c:delete val="1"/>
        <c:axPos val="l"/>
        <c:numFmt formatCode="General" sourceLinked="1"/>
        <c:tickLblPos val="nextTo"/>
        <c:crossAx val="113824896"/>
        <c:crosses val="autoZero"/>
        <c:crossBetween val="between"/>
      </c:valAx>
      <c:valAx>
        <c:axId val="113828224"/>
        <c:scaling>
          <c:orientation val="minMax"/>
        </c:scaling>
        <c:delete val="1"/>
        <c:axPos val="r"/>
        <c:numFmt formatCode="0.0%" sourceLinked="0"/>
        <c:tickLblPos val="nextTo"/>
        <c:crossAx val="113829760"/>
        <c:crosses val="max"/>
        <c:crossBetween val="between"/>
      </c:valAx>
      <c:catAx>
        <c:axId val="113829760"/>
        <c:scaling>
          <c:orientation val="minMax"/>
        </c:scaling>
        <c:delete val="1"/>
        <c:axPos val="b"/>
        <c:tickLblPos val="nextTo"/>
        <c:crossAx val="113828224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rgbClr val="9BBB59">
                      <a:lumMod val="75000"/>
                    </a:srgbClr>
                  </a:gs>
                  <a:gs pos="78000">
                    <a:srgbClr val="9BBB59">
                      <a:lumMod val="40000"/>
                      <a:lumOff val="60000"/>
                    </a:srgbClr>
                  </a:gs>
                  <a:gs pos="100000">
                    <a:schemeClr val="accent3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41" footer="0.3149606200000014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Dados!$E$47</c:f>
          <c:strCache>
            <c:ptCount val="1"/>
            <c:pt idx="0">
              <c:v>Ativação Imediata - NORDESTE</c:v>
            </c:pt>
          </c:strCache>
        </c:strRef>
      </c:tx>
      <c:layout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3">
                      <a:lumMod val="75000"/>
                    </a:schemeClr>
                  </a:gs>
                  <a:gs pos="78000">
                    <a:schemeClr val="accent3">
                      <a:lumMod val="60000"/>
                      <a:lumOff val="40000"/>
                    </a:schemeClr>
                  </a:gs>
                  <a:gs pos="100000">
                    <a:schemeClr val="accent3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93"/>
          <c:w val="0.93863318038484511"/>
          <c:h val="0.69004658671526109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chemeClr val="accent3"/>
            </a:solidFill>
          </c:spPr>
          <c:dLbls>
            <c:numFmt formatCode="0.0%" sourceLinked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Dados!$I$46:$I$47</c:f>
              <c:numCache>
                <c:formatCode>General</c:formatCode>
                <c:ptCount val="2"/>
                <c:pt idx="0">
                  <c:v>0.74479166666666663</c:v>
                </c:pt>
                <c:pt idx="1">
                  <c:v>0.75054704595185995</c:v>
                </c:pt>
              </c:numCache>
            </c:numRef>
          </c:val>
        </c:ser>
        <c:dLbls>
          <c:showVal val="1"/>
        </c:dLbls>
        <c:overlap val="-25"/>
        <c:axId val="113688960"/>
        <c:axId val="113690496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ln>
              <a:solidFill>
                <a:srgbClr val="9BBB59">
                  <a:lumMod val="50000"/>
                </a:srgb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solidFill>
                <a:srgbClr val="9BBB59">
                  <a:lumMod val="50000"/>
                </a:srgbClr>
              </a:solidFill>
              <a:ln>
                <a:solidFill>
                  <a:srgbClr val="9BBB59">
                    <a:lumMod val="50000"/>
                  </a:srgb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3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Dados!$H$46:$H$47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Dados!$L$46:$L$47</c:f>
              <c:numCache>
                <c:formatCode>General</c:formatCode>
                <c:ptCount val="2"/>
                <c:pt idx="0">
                  <c:v>0.1282168862036405</c:v>
                </c:pt>
                <c:pt idx="1">
                  <c:v>0.11747686592726811</c:v>
                </c:pt>
              </c:numCache>
            </c:numRef>
          </c:val>
        </c:ser>
        <c:dLbls>
          <c:showVal val="1"/>
        </c:dLbls>
        <c:marker val="1"/>
        <c:axId val="113697920"/>
        <c:axId val="113692032"/>
      </c:lineChart>
      <c:catAx>
        <c:axId val="11368896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690496"/>
        <c:crosses val="autoZero"/>
        <c:auto val="1"/>
        <c:lblAlgn val="ctr"/>
        <c:lblOffset val="100"/>
      </c:catAx>
      <c:valAx>
        <c:axId val="113690496"/>
        <c:scaling>
          <c:orientation val="minMax"/>
        </c:scaling>
        <c:delete val="1"/>
        <c:axPos val="l"/>
        <c:numFmt formatCode="General" sourceLinked="1"/>
        <c:tickLblPos val="nextTo"/>
        <c:crossAx val="113688960"/>
        <c:crosses val="autoZero"/>
        <c:crossBetween val="between"/>
      </c:valAx>
      <c:valAx>
        <c:axId val="113692032"/>
        <c:scaling>
          <c:orientation val="minMax"/>
        </c:scaling>
        <c:delete val="1"/>
        <c:axPos val="r"/>
        <c:numFmt formatCode="0.0%" sourceLinked="0"/>
        <c:tickLblPos val="nextTo"/>
        <c:crossAx val="113697920"/>
        <c:crosses val="max"/>
        <c:crossBetween val="between"/>
      </c:valAx>
      <c:catAx>
        <c:axId val="113697920"/>
        <c:scaling>
          <c:orientation val="minMax"/>
        </c:scaling>
        <c:delete val="1"/>
        <c:axPos val="b"/>
        <c:tickLblPos val="nextTo"/>
        <c:crossAx val="113692032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rgbClr val="9BBB59">
                      <a:lumMod val="75000"/>
                    </a:srgbClr>
                  </a:gs>
                  <a:gs pos="78000">
                    <a:srgbClr val="9BBB59">
                      <a:lumMod val="40000"/>
                      <a:lumOff val="60000"/>
                    </a:srgbClr>
                  </a:gs>
                  <a:gs pos="100000">
                    <a:schemeClr val="accent3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52" footer="0.3149606200000015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strRef>
          <c:f>Dados!$E$50</c:f>
          <c:strCache>
            <c:ptCount val="1"/>
            <c:pt idx="0">
              <c:v>Participação LASA - NORDESTE</c:v>
            </c:pt>
          </c:strCache>
        </c:strRef>
      </c:tx>
      <c:layout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2">
                      <a:lumMod val="75000"/>
                    </a:schemeClr>
                  </a:gs>
                  <a:gs pos="78000">
                    <a:schemeClr val="accent2">
                      <a:lumMod val="40000"/>
                      <a:lumOff val="60000"/>
                    </a:schemeClr>
                  </a:gs>
                  <a:gs pos="100000">
                    <a:schemeClr val="accent2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3.0683409807577482E-2"/>
          <c:y val="0.19131035439133198"/>
          <c:w val="0.93863318038484511"/>
          <c:h val="0.69004658671526087"/>
        </c:manualLayout>
      </c:layout>
      <c:barChart>
        <c:barDir val="col"/>
        <c:grouping val="clustered"/>
        <c:ser>
          <c:idx val="0"/>
          <c:order val="0"/>
          <c:tx>
            <c:strRef>
              <c:f>Dados!$I$33</c:f>
              <c:strCache>
                <c:ptCount val="1"/>
                <c:pt idx="0">
                  <c:v>Mediana</c:v>
                </c:pt>
              </c:strCache>
            </c:strRef>
          </c:tx>
          <c:spPr>
            <a:solidFill>
              <a:srgbClr val="C00000"/>
            </a:solidFill>
          </c:spPr>
          <c:dLbls>
            <c:numFmt formatCode="0.0%" sourceLinked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Dados!$H$34:$H$35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Dados!$I$49:$I$50</c:f>
              <c:numCache>
                <c:formatCode>General</c:formatCode>
                <c:ptCount val="2"/>
                <c:pt idx="0">
                  <c:v>0.20891833344954092</c:v>
                </c:pt>
                <c:pt idx="1">
                  <c:v>0.23301990406306902</c:v>
                </c:pt>
              </c:numCache>
            </c:numRef>
          </c:val>
        </c:ser>
        <c:dLbls>
          <c:showVal val="1"/>
        </c:dLbls>
        <c:overlap val="-25"/>
        <c:axId val="113724800"/>
        <c:axId val="113751168"/>
      </c:barChart>
      <c:lineChart>
        <c:grouping val="standard"/>
        <c:ser>
          <c:idx val="1"/>
          <c:order val="1"/>
          <c:tx>
            <c:strRef>
              <c:f>Dados!$L$33</c:f>
              <c:strCache>
                <c:ptCount val="1"/>
                <c:pt idx="0">
                  <c:v>Dispersão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pPr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.0%" sourceLinked="0"/>
            <c:spPr>
              <a:solidFill>
                <a:schemeClr val="accent2"/>
              </a:solidFill>
              <a:ln w="38100" cap="flat" cmpd="sng" algn="ctr">
                <a:solidFill>
                  <a:schemeClr val="lt1"/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Dados!$H$49:$H$50</c:f>
              <c:strCache>
                <c:ptCount val="2"/>
                <c:pt idx="0">
                  <c:v>Janeiro 2010</c:v>
                </c:pt>
                <c:pt idx="1">
                  <c:v>Fevereiro 2010</c:v>
                </c:pt>
              </c:strCache>
            </c:strRef>
          </c:cat>
          <c:val>
            <c:numRef>
              <c:f>Dados!$L$49:$L$50</c:f>
              <c:numCache>
                <c:formatCode>General</c:formatCode>
                <c:ptCount val="2"/>
                <c:pt idx="0">
                  <c:v>0.286163323063029</c:v>
                </c:pt>
                <c:pt idx="1">
                  <c:v>0.28294890949504703</c:v>
                </c:pt>
              </c:numCache>
            </c:numRef>
          </c:val>
        </c:ser>
        <c:dLbls>
          <c:showVal val="1"/>
        </c:dLbls>
        <c:marker val="1"/>
        <c:axId val="113758592"/>
        <c:axId val="113752704"/>
      </c:lineChart>
      <c:catAx>
        <c:axId val="11372480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sz="1050" b="1"/>
            </a:pPr>
            <a:endParaRPr lang="pt-BR"/>
          </a:p>
        </c:txPr>
        <c:crossAx val="113751168"/>
        <c:crosses val="autoZero"/>
        <c:auto val="1"/>
        <c:lblAlgn val="ctr"/>
        <c:lblOffset val="100"/>
      </c:catAx>
      <c:valAx>
        <c:axId val="113751168"/>
        <c:scaling>
          <c:orientation val="minMax"/>
        </c:scaling>
        <c:delete val="1"/>
        <c:axPos val="l"/>
        <c:numFmt formatCode="General" sourceLinked="1"/>
        <c:tickLblPos val="nextTo"/>
        <c:crossAx val="113724800"/>
        <c:crosses val="autoZero"/>
        <c:crossBetween val="between"/>
      </c:valAx>
      <c:valAx>
        <c:axId val="113752704"/>
        <c:scaling>
          <c:orientation val="minMax"/>
        </c:scaling>
        <c:delete val="1"/>
        <c:axPos val="r"/>
        <c:numFmt formatCode="0.0%" sourceLinked="0"/>
        <c:tickLblPos val="nextTo"/>
        <c:crossAx val="113758592"/>
        <c:crosses val="max"/>
        <c:crossBetween val="between"/>
      </c:valAx>
      <c:catAx>
        <c:axId val="113758592"/>
        <c:scaling>
          <c:orientation val="minMax"/>
        </c:scaling>
        <c:delete val="1"/>
        <c:axPos val="b"/>
        <c:tickLblPos val="nextTo"/>
        <c:crossAx val="113752704"/>
        <c:crosses val="autoZero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0.2893972675731708"/>
          <c:y val="0.1286606417480288"/>
          <c:w val="0.42120524521579311"/>
          <c:h val="7.5110775908872704E-2"/>
        </c:manualLayout>
      </c:layout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rgbClr val="C0504D">
                      <a:lumMod val="75000"/>
                    </a:srgbClr>
                  </a:gs>
                  <a:gs pos="78000">
                    <a:srgbClr val="C0504D">
                      <a:lumMod val="40000"/>
                      <a:lumOff val="60000"/>
                    </a:srgbClr>
                  </a:gs>
                  <a:gs pos="100000">
                    <a:schemeClr val="accent2">
                      <a:lumMod val="20000"/>
                      <a:lumOff val="80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163" footer="0.3149606200000016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tabSelected="1" workbookViewId="0"/>
  </sheetViews>
  <pageMargins left="0.511811024" right="0.511811024" top="0.78740157499999996" bottom="0.78740157499999996" header="0.31496062000000002" footer="0.31496062000000002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0.07009</cdr:x>
      <cdr:y>0.68779</cdr:y>
    </cdr:from>
    <cdr:to>
      <cdr:x>0.16189</cdr:x>
      <cdr:y>0.73375</cdr:y>
    </cdr:to>
    <cdr:grpSp>
      <cdr:nvGrpSpPr>
        <cdr:cNvPr id="11" name="Grupo 10"/>
        <cdr:cNvGrpSpPr/>
      </cdr:nvGrpSpPr>
      <cdr:grpSpPr>
        <a:xfrm xmlns:a="http://schemas.openxmlformats.org/drawingml/2006/main">
          <a:off x="676286" y="4133807"/>
          <a:ext cx="885762" cy="276232"/>
          <a:chOff x="542924" y="4124325"/>
          <a:chExt cx="933451" cy="276225"/>
        </a:xfrm>
      </cdr:grpSpPr>
      <cdr:sp macro="" textlink="Dados!$M$4">
        <cdr:nvSpPr>
          <cdr:cNvPr id="2" name="CaixaDeTexto 1"/>
          <cdr:cNvSpPr txBox="1"/>
        </cdr:nvSpPr>
        <cdr:spPr>
          <a:xfrm xmlns:a="http://schemas.openxmlformats.org/drawingml/2006/main">
            <a:off x="542924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D32678FE-9657-421B-9B36-BBFE8F41E183}" type="TxLink">
              <a:rPr lang="pt-BR" sz="1050"/>
              <a:pPr algn="ctr"/>
              <a:t>11%</a:t>
            </a:fld>
            <a:endParaRPr lang="pt-BR" sz="1050"/>
          </a:p>
        </cdr:txBody>
      </cdr:sp>
      <cdr:sp macro="" textlink="Dados!$M$5">
        <cdr:nvSpPr>
          <cdr:cNvPr id="3" name="CaixaDeTexto 1"/>
          <cdr:cNvSpPr txBox="1"/>
        </cdr:nvSpPr>
        <cdr:spPr>
          <a:xfrm xmlns:a="http://schemas.openxmlformats.org/drawingml/2006/main">
            <a:off x="1028700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F7297AEB-8AF6-4B53-91DC-D29DEAF88948}" type="TxLink">
              <a:rPr lang="pt-BR" sz="1050"/>
              <a:pPr algn="ctr"/>
              <a:t>-3%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0.17399</cdr:x>
      <cdr:y>0.68779</cdr:y>
    </cdr:from>
    <cdr:to>
      <cdr:x>0.2658</cdr:x>
      <cdr:y>0.73375</cdr:y>
    </cdr:to>
    <cdr:grpSp>
      <cdr:nvGrpSpPr>
        <cdr:cNvPr id="10" name="Grupo 9"/>
        <cdr:cNvGrpSpPr/>
      </cdr:nvGrpSpPr>
      <cdr:grpSpPr>
        <a:xfrm xmlns:a="http://schemas.openxmlformats.org/drawingml/2006/main">
          <a:off x="1678799" y="4133807"/>
          <a:ext cx="885859" cy="276232"/>
          <a:chOff x="1543049" y="4124325"/>
          <a:chExt cx="933451" cy="276225"/>
        </a:xfrm>
      </cdr:grpSpPr>
      <cdr:sp macro="" textlink="Dados!$M$7">
        <cdr:nvSpPr>
          <cdr:cNvPr id="4" name="CaixaDeTexto 3"/>
          <cdr:cNvSpPr txBox="1"/>
        </cdr:nvSpPr>
        <cdr:spPr>
          <a:xfrm xmlns:a="http://schemas.openxmlformats.org/drawingml/2006/main">
            <a:off x="1543049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56755174-6A43-447D-9585-CF902B668896}" type="TxLink">
              <a:rPr lang="pt-BR" sz="1050"/>
              <a:pPr algn="ctr"/>
              <a:t>5%</a:t>
            </a:fld>
            <a:endParaRPr lang="pt-BR" sz="1050"/>
          </a:p>
        </cdr:txBody>
      </cdr:sp>
      <cdr:sp macro="" textlink="Dados!$M$8">
        <cdr:nvSpPr>
          <cdr:cNvPr id="5" name="CaixaDeTexto 1"/>
          <cdr:cNvSpPr txBox="1"/>
        </cdr:nvSpPr>
        <cdr:spPr>
          <a:xfrm xmlns:a="http://schemas.openxmlformats.org/drawingml/2006/main">
            <a:off x="2028825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6E785B6E-0EAB-46F1-AB34-1E07DB0B6DED}" type="TxLink">
              <a:rPr lang="pt-BR" sz="1050"/>
              <a:pPr algn="ctr"/>
              <a:t>-2%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0.27789</cdr:x>
      <cdr:y>0.68779</cdr:y>
    </cdr:from>
    <cdr:to>
      <cdr:x>0.36969</cdr:x>
      <cdr:y>0.73375</cdr:y>
    </cdr:to>
    <cdr:grpSp>
      <cdr:nvGrpSpPr>
        <cdr:cNvPr id="12" name="Grupo 11"/>
        <cdr:cNvGrpSpPr/>
      </cdr:nvGrpSpPr>
      <cdr:grpSpPr>
        <a:xfrm xmlns:a="http://schemas.openxmlformats.org/drawingml/2006/main">
          <a:off x="2681312" y="4133807"/>
          <a:ext cx="885762" cy="276232"/>
          <a:chOff x="2571749" y="4124325"/>
          <a:chExt cx="933451" cy="276225"/>
        </a:xfrm>
      </cdr:grpSpPr>
      <cdr:sp macro="" textlink="Dados!$M$10">
        <cdr:nvSpPr>
          <cdr:cNvPr id="6" name="CaixaDeTexto 5"/>
          <cdr:cNvSpPr txBox="1"/>
        </cdr:nvSpPr>
        <cdr:spPr>
          <a:xfrm xmlns:a="http://schemas.openxmlformats.org/drawingml/2006/main">
            <a:off x="2571749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5AC2FF51-C17D-4BC6-BCE7-940EFB797819}" type="TxLink">
              <a:rPr lang="pt-BR" sz="1050"/>
              <a:pPr algn="ctr"/>
              <a:t>-2%</a:t>
            </a:fld>
            <a:endParaRPr lang="pt-BR" sz="1050"/>
          </a:p>
        </cdr:txBody>
      </cdr:sp>
      <cdr:sp macro="" textlink="Dados!$M$11">
        <cdr:nvSpPr>
          <cdr:cNvPr id="7" name="CaixaDeTexto 1"/>
          <cdr:cNvSpPr txBox="1"/>
        </cdr:nvSpPr>
        <cdr:spPr>
          <a:xfrm xmlns:a="http://schemas.openxmlformats.org/drawingml/2006/main">
            <a:off x="3057525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74C7D375-AD3F-4173-BEE1-A826394CC935}" type="TxLink">
              <a:rPr lang="pt-BR" sz="1050"/>
              <a:pPr algn="ctr"/>
              <a:t>33%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0.38179</cdr:x>
      <cdr:y>0.68779</cdr:y>
    </cdr:from>
    <cdr:to>
      <cdr:x>0.47359</cdr:x>
      <cdr:y>0.73375</cdr:y>
    </cdr:to>
    <cdr:grpSp>
      <cdr:nvGrpSpPr>
        <cdr:cNvPr id="13" name="Grupo 12"/>
        <cdr:cNvGrpSpPr/>
      </cdr:nvGrpSpPr>
      <cdr:grpSpPr>
        <a:xfrm xmlns:a="http://schemas.openxmlformats.org/drawingml/2006/main">
          <a:off x="3683825" y="4133807"/>
          <a:ext cx="885762" cy="276232"/>
          <a:chOff x="3629024" y="4124325"/>
          <a:chExt cx="933451" cy="276225"/>
        </a:xfrm>
      </cdr:grpSpPr>
      <cdr:sp macro="" textlink="Dados!$M$13">
        <cdr:nvSpPr>
          <cdr:cNvPr id="8" name="CaixaDeTexto 7"/>
          <cdr:cNvSpPr txBox="1"/>
        </cdr:nvSpPr>
        <cdr:spPr>
          <a:xfrm xmlns:a="http://schemas.openxmlformats.org/drawingml/2006/main">
            <a:off x="3629024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69C459CC-C43A-4828-8E03-84167932A3D9}" type="TxLink">
              <a:rPr lang="pt-BR" sz="1050"/>
              <a:pPr algn="ctr"/>
              <a:t>8%</a:t>
            </a:fld>
            <a:endParaRPr lang="pt-BR" sz="1050"/>
          </a:p>
        </cdr:txBody>
      </cdr:sp>
      <cdr:sp macro="" textlink="Dados!$M$14">
        <cdr:nvSpPr>
          <cdr:cNvPr id="9" name="CaixaDeTexto 1"/>
          <cdr:cNvSpPr txBox="1"/>
        </cdr:nvSpPr>
        <cdr:spPr>
          <a:xfrm xmlns:a="http://schemas.openxmlformats.org/drawingml/2006/main">
            <a:off x="4114800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389C63EA-9F8B-4157-BF30-37AA0360CE6F}" type="TxLink">
              <a:rPr lang="pt-BR" sz="1050"/>
              <a:pPr algn="ctr"/>
              <a:t>-26%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0.58959</cdr:x>
      <cdr:y>0.68779</cdr:y>
    </cdr:from>
    <cdr:to>
      <cdr:x>0.68139</cdr:x>
      <cdr:y>0.73375</cdr:y>
    </cdr:to>
    <cdr:grpSp>
      <cdr:nvGrpSpPr>
        <cdr:cNvPr id="14" name="Grupo 13"/>
        <cdr:cNvGrpSpPr/>
      </cdr:nvGrpSpPr>
      <cdr:grpSpPr>
        <a:xfrm xmlns:a="http://schemas.openxmlformats.org/drawingml/2006/main">
          <a:off x="5688851" y="4133807"/>
          <a:ext cx="885762" cy="276232"/>
          <a:chOff x="3629024" y="4124325"/>
          <a:chExt cx="933451" cy="276225"/>
        </a:xfrm>
      </cdr:grpSpPr>
      <cdr:sp macro="" textlink="Dados!$M$19">
        <cdr:nvSpPr>
          <cdr:cNvPr id="15" name="CaixaDeTexto 14"/>
          <cdr:cNvSpPr txBox="1"/>
        </cdr:nvSpPr>
        <cdr:spPr>
          <a:xfrm xmlns:a="http://schemas.openxmlformats.org/drawingml/2006/main">
            <a:off x="3629024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EF856908-BDD0-4284-910C-942F414035AE}" type="TxLink">
              <a:rPr lang="pt-BR" sz="1050"/>
              <a:pPr algn="ctr"/>
              <a:t>-1%</a:t>
            </a:fld>
            <a:endParaRPr lang="pt-BR" sz="1050"/>
          </a:p>
        </cdr:txBody>
      </cdr:sp>
      <cdr:sp macro="" textlink="Dados!$M$20">
        <cdr:nvSpPr>
          <cdr:cNvPr id="16" name="CaixaDeTexto 1"/>
          <cdr:cNvSpPr txBox="1"/>
        </cdr:nvSpPr>
        <cdr:spPr>
          <a:xfrm xmlns:a="http://schemas.openxmlformats.org/drawingml/2006/main">
            <a:off x="4114800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1D169C1E-2376-4F8D-B33B-0906978F019C}" type="TxLink">
              <a:rPr lang="pt-BR" sz="1050"/>
              <a:pPr algn="ctr"/>
              <a:t>14%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0.69349</cdr:x>
      <cdr:y>0.68779</cdr:y>
    </cdr:from>
    <cdr:to>
      <cdr:x>0.78529</cdr:x>
      <cdr:y>0.73375</cdr:y>
    </cdr:to>
    <cdr:grpSp>
      <cdr:nvGrpSpPr>
        <cdr:cNvPr id="17" name="Grupo 16"/>
        <cdr:cNvGrpSpPr/>
      </cdr:nvGrpSpPr>
      <cdr:grpSpPr>
        <a:xfrm xmlns:a="http://schemas.openxmlformats.org/drawingml/2006/main">
          <a:off x="6691364" y="4133807"/>
          <a:ext cx="885762" cy="276232"/>
          <a:chOff x="3629024" y="4124325"/>
          <a:chExt cx="933451" cy="276225"/>
        </a:xfrm>
      </cdr:grpSpPr>
      <cdr:sp macro="" textlink="Dados!$M$22">
        <cdr:nvSpPr>
          <cdr:cNvPr id="18" name="CaixaDeTexto 17"/>
          <cdr:cNvSpPr txBox="1"/>
        </cdr:nvSpPr>
        <cdr:spPr>
          <a:xfrm xmlns:a="http://schemas.openxmlformats.org/drawingml/2006/main">
            <a:off x="3629024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97EC0861-AE1C-4595-B807-54D4C8D6382B}" type="TxLink">
              <a:rPr lang="pt-BR" sz="1050"/>
              <a:pPr algn="ctr"/>
              <a:t>39%</a:t>
            </a:fld>
            <a:endParaRPr lang="pt-BR" sz="1050"/>
          </a:p>
        </cdr:txBody>
      </cdr:sp>
      <cdr:sp macro="" textlink="Dados!$M$23">
        <cdr:nvSpPr>
          <cdr:cNvPr id="19" name="CaixaDeTexto 1"/>
          <cdr:cNvSpPr txBox="1"/>
        </cdr:nvSpPr>
        <cdr:spPr>
          <a:xfrm xmlns:a="http://schemas.openxmlformats.org/drawingml/2006/main">
            <a:off x="4114800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BFEE6046-72CB-4E48-B89C-20051A314E8F}" type="TxLink">
              <a:rPr lang="pt-BR" sz="1050"/>
              <a:pPr algn="ctr"/>
              <a:t>-27%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0.79738</cdr:x>
      <cdr:y>0.68779</cdr:y>
    </cdr:from>
    <cdr:to>
      <cdr:x>0.88919</cdr:x>
      <cdr:y>0.73375</cdr:y>
    </cdr:to>
    <cdr:grpSp>
      <cdr:nvGrpSpPr>
        <cdr:cNvPr id="20" name="Grupo 19"/>
        <cdr:cNvGrpSpPr/>
      </cdr:nvGrpSpPr>
      <cdr:grpSpPr>
        <a:xfrm xmlns:a="http://schemas.openxmlformats.org/drawingml/2006/main">
          <a:off x="7693780" y="4133807"/>
          <a:ext cx="885859" cy="276232"/>
          <a:chOff x="3629024" y="4124325"/>
          <a:chExt cx="933451" cy="276225"/>
        </a:xfrm>
      </cdr:grpSpPr>
      <cdr:sp macro="" textlink="Dados!$M$25">
        <cdr:nvSpPr>
          <cdr:cNvPr id="21" name="CaixaDeTexto 20"/>
          <cdr:cNvSpPr txBox="1"/>
        </cdr:nvSpPr>
        <cdr:spPr>
          <a:xfrm xmlns:a="http://schemas.openxmlformats.org/drawingml/2006/main">
            <a:off x="3629024" y="4124325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/>
          <a:p xmlns:a="http://schemas.openxmlformats.org/drawingml/2006/main">
            <a:pPr algn="ctr"/>
            <a:fld id="{A8C112DD-D0E8-4344-90EE-A58A0BD458DB}" type="TxLink">
              <a:rPr lang="pt-BR" sz="1050"/>
              <a:pPr algn="ctr"/>
              <a:t>5%</a:t>
            </a:fld>
            <a:endParaRPr lang="pt-BR" sz="1050"/>
          </a:p>
        </cdr:txBody>
      </cdr:sp>
      <cdr:sp macro="" textlink="Dados!$M$26">
        <cdr:nvSpPr>
          <cdr:cNvPr id="22" name="CaixaDeTexto 1"/>
          <cdr:cNvSpPr txBox="1"/>
        </cdr:nvSpPr>
        <cdr:spPr>
          <a:xfrm xmlns:a="http://schemas.openxmlformats.org/drawingml/2006/main">
            <a:off x="4114800" y="4124325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A7D0382D-5D0C-44CF-A295-5951E9E1FBB6}" type="TxLink">
              <a:rPr lang="pt-BR" sz="1050"/>
              <a:pPr algn="ctr"/>
              <a:t>-7%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0.48568</cdr:x>
      <cdr:y>0.68779</cdr:y>
    </cdr:from>
    <cdr:to>
      <cdr:x>0.5775</cdr:x>
      <cdr:y>0.73375</cdr:y>
    </cdr:to>
    <cdr:grpSp>
      <cdr:nvGrpSpPr>
        <cdr:cNvPr id="24" name="Grupo 23"/>
        <cdr:cNvGrpSpPr/>
      </cdr:nvGrpSpPr>
      <cdr:grpSpPr>
        <a:xfrm xmlns:a="http://schemas.openxmlformats.org/drawingml/2006/main">
          <a:off x="4686241" y="4133807"/>
          <a:ext cx="885955" cy="276232"/>
          <a:chOff x="0" y="0"/>
          <a:chExt cx="933451" cy="276225"/>
        </a:xfrm>
      </cdr:grpSpPr>
      <cdr:sp macro="" textlink="Dados!$M$16">
        <cdr:nvSpPr>
          <cdr:cNvPr id="25" name="CaixaDeTexto 2"/>
          <cdr:cNvSpPr txBox="1"/>
        </cdr:nvSpPr>
        <cdr:spPr>
          <a:xfrm xmlns:a="http://schemas.openxmlformats.org/drawingml/2006/main">
            <a:off x="0" y="0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0E4D4B57-0B74-4CC6-9B64-47035EB2230B}" type="TxLink">
              <a:rPr lang="pt-BR" sz="1050"/>
              <a:pPr algn="ctr"/>
              <a:t>9%</a:t>
            </a:fld>
            <a:endParaRPr lang="pt-BR" sz="1050"/>
          </a:p>
        </cdr:txBody>
      </cdr:sp>
      <cdr:sp macro="" textlink="Dados!$M$17">
        <cdr:nvSpPr>
          <cdr:cNvPr id="26" name="CaixaDeTexto 1"/>
          <cdr:cNvSpPr txBox="1"/>
        </cdr:nvSpPr>
        <cdr:spPr>
          <a:xfrm xmlns:a="http://schemas.openxmlformats.org/drawingml/2006/main">
            <a:off x="485776" y="0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4C5B9276-51C9-4CA0-9EC5-6D9AE6C0F643}" type="TxLink">
              <a:rPr lang="pt-BR" sz="1050"/>
              <a:pPr algn="ctr"/>
              <a:t>17%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0.90129</cdr:x>
      <cdr:y>0.68779</cdr:y>
    </cdr:from>
    <cdr:to>
      <cdr:x>0.99309</cdr:x>
      <cdr:y>0.73375</cdr:y>
    </cdr:to>
    <cdr:grpSp>
      <cdr:nvGrpSpPr>
        <cdr:cNvPr id="27" name="Grupo 26"/>
        <cdr:cNvGrpSpPr/>
      </cdr:nvGrpSpPr>
      <cdr:grpSpPr>
        <a:xfrm xmlns:a="http://schemas.openxmlformats.org/drawingml/2006/main">
          <a:off x="8696389" y="4133807"/>
          <a:ext cx="885763" cy="276232"/>
          <a:chOff x="0" y="0"/>
          <a:chExt cx="933451" cy="276225"/>
        </a:xfrm>
      </cdr:grpSpPr>
      <cdr:sp macro="" textlink="Dados!$M$28">
        <cdr:nvSpPr>
          <cdr:cNvPr id="28" name="CaixaDeTexto 2"/>
          <cdr:cNvSpPr txBox="1"/>
        </cdr:nvSpPr>
        <cdr:spPr>
          <a:xfrm xmlns:a="http://schemas.openxmlformats.org/drawingml/2006/main">
            <a:off x="0" y="0"/>
            <a:ext cx="447676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2">
            <a:schemeClr val="accent1"/>
          </a:fillRef>
          <a:effectRef xmlns:a="http://schemas.openxmlformats.org/drawingml/2006/main" idx="1">
            <a:schemeClr val="accent1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8917B7D7-FD9E-41CB-B8DC-006763BA3F60}" type="TxLink">
              <a:rPr lang="pt-BR" sz="1050"/>
              <a:pPr algn="ctr"/>
              <a:t>22%</a:t>
            </a:fld>
            <a:endParaRPr lang="pt-BR" sz="1050"/>
          </a:p>
        </cdr:txBody>
      </cdr:sp>
      <cdr:sp macro="" textlink="Dados!$M$29">
        <cdr:nvSpPr>
          <cdr:cNvPr id="29" name="CaixaDeTexto 1"/>
          <cdr:cNvSpPr txBox="1"/>
        </cdr:nvSpPr>
        <cdr:spPr>
          <a:xfrm xmlns:a="http://schemas.openxmlformats.org/drawingml/2006/main">
            <a:off x="485776" y="0"/>
            <a:ext cx="447675" cy="276225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1">
            <a:schemeClr val="accent6"/>
          </a:lnRef>
          <a:fillRef xmlns:a="http://schemas.openxmlformats.org/drawingml/2006/main" idx="2">
            <a:schemeClr val="accent6"/>
          </a:fillRef>
          <a:effectRef xmlns:a="http://schemas.openxmlformats.org/drawingml/2006/main" idx="1">
            <a:schemeClr val="accent6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lIns="36000" rIns="36000" rtlCol="0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fld id="{20463053-1913-4275-958C-B7B796216D1F}" type="TxLink">
              <a:rPr lang="pt-BR" sz="1050"/>
              <a:pPr algn="ctr"/>
              <a:t>-10%</a:t>
            </a:fld>
            <a:endParaRPr lang="pt-BR" sz="1050"/>
          </a:p>
        </cdr:txBody>
      </cdr:sp>
    </cdr:grpSp>
  </cdr:relSizeAnchor>
  <cdr:relSizeAnchor xmlns:cdr="http://schemas.openxmlformats.org/drawingml/2006/chartDrawing">
    <cdr:from>
      <cdr:x>0.89141</cdr:x>
      <cdr:y>0.04913</cdr:y>
    </cdr:from>
    <cdr:to>
      <cdr:x>0.97349</cdr:x>
      <cdr:y>0.0935</cdr:y>
    </cdr:to>
    <cdr:sp macro="" textlink="">
      <cdr:nvSpPr>
        <cdr:cNvPr id="31" name="CaixaDeTexto 2"/>
        <cdr:cNvSpPr txBox="1"/>
      </cdr:nvSpPr>
      <cdr:spPr>
        <a:xfrm xmlns:a="http://schemas.openxmlformats.org/drawingml/2006/main">
          <a:off x="8601076" y="295276"/>
          <a:ext cx="792000" cy="2667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36000" rIns="36000" rtlCol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050"/>
            <a:t>Mediana</a:t>
          </a:r>
        </a:p>
      </cdr:txBody>
    </cdr:sp>
  </cdr:relSizeAnchor>
  <cdr:relSizeAnchor xmlns:cdr="http://schemas.openxmlformats.org/drawingml/2006/chartDrawing">
    <cdr:from>
      <cdr:x>0.89141</cdr:x>
      <cdr:y>0.1046</cdr:y>
    </cdr:from>
    <cdr:to>
      <cdr:x>0.97349</cdr:x>
      <cdr:y>0.14897</cdr:y>
    </cdr:to>
    <cdr:sp macro="" textlink="">
      <cdr:nvSpPr>
        <cdr:cNvPr id="32" name="CaixaDeTexto 1"/>
        <cdr:cNvSpPr txBox="1"/>
      </cdr:nvSpPr>
      <cdr:spPr>
        <a:xfrm xmlns:a="http://schemas.openxmlformats.org/drawingml/2006/main">
          <a:off x="8601076" y="628651"/>
          <a:ext cx="792000" cy="2667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2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36000" rIns="36000" rtlCol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050"/>
            <a:t>Dispersão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640416</xdr:colOff>
      <xdr:row>2</xdr:row>
      <xdr:rowOff>26895</xdr:rowOff>
    </xdr:from>
    <xdr:to>
      <xdr:col>8</xdr:col>
      <xdr:colOff>85166</xdr:colOff>
      <xdr:row>18</xdr:row>
      <xdr:rowOff>36419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151840</xdr:colOff>
      <xdr:row>2</xdr:row>
      <xdr:rowOff>17369</xdr:rowOff>
    </xdr:from>
    <xdr:to>
      <xdr:col>16</xdr:col>
      <xdr:colOff>61072</xdr:colOff>
      <xdr:row>18</xdr:row>
      <xdr:rowOff>36419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16</xdr:col>
      <xdr:colOff>123265</xdr:colOff>
      <xdr:row>2</xdr:row>
      <xdr:rowOff>33617</xdr:rowOff>
    </xdr:from>
    <xdr:to>
      <xdr:col>24</xdr:col>
      <xdr:colOff>54908</xdr:colOff>
      <xdr:row>18</xdr:row>
      <xdr:rowOff>52667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658344</xdr:colOff>
      <xdr:row>22</xdr:row>
      <xdr:rowOff>56030</xdr:rowOff>
    </xdr:from>
    <xdr:to>
      <xdr:col>8</xdr:col>
      <xdr:colOff>103094</xdr:colOff>
      <xdr:row>38</xdr:row>
      <xdr:rowOff>65554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169768</xdr:colOff>
      <xdr:row>22</xdr:row>
      <xdr:rowOff>46504</xdr:rowOff>
    </xdr:from>
    <xdr:to>
      <xdr:col>16</xdr:col>
      <xdr:colOff>79000</xdr:colOff>
      <xdr:row>38</xdr:row>
      <xdr:rowOff>65554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141193</xdr:colOff>
      <xdr:row>22</xdr:row>
      <xdr:rowOff>62752</xdr:rowOff>
    </xdr:from>
    <xdr:to>
      <xdr:col>24</xdr:col>
      <xdr:colOff>72836</xdr:colOff>
      <xdr:row>38</xdr:row>
      <xdr:rowOff>81802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404896" refreshedDate="40245.423836921298" createdVersion="3" refreshedVersion="3" minRefreshableVersion="3" recordCount="24">
  <cacheSource type="external" connectionId="2"/>
  <cacheFields count="20">
    <cacheField name="COMP" numFmtId="0">
      <sharedItems count="7">
        <s v="Anterior"/>
        <s v="Atual"/>
        <s v="Meta"/>
        <s v="Até Novembro" u="1"/>
        <s v="Setembro" u="1"/>
        <s v="Novembro" u="1"/>
        <s v="Até Junho" u="1"/>
      </sharedItems>
    </cacheField>
    <cacheField name="REGIONAL" numFmtId="0">
      <sharedItems count="16">
        <s v="CENTROESTE"/>
        <s v="MG / ES / BA"/>
        <s v="NORDESTE"/>
        <s v="NORTE"/>
        <s v="RIO"/>
        <s v="SP1"/>
        <s v="SP2 / Rio Reg Serrana"/>
        <s v="SUL"/>
        <s v="ES e BA" u="1"/>
        <s v="MG / ES e BA" u="1"/>
        <s v="Centro Oeste" u="1"/>
        <s v="SP2" u="1"/>
        <s v="RIO / MINAS" u="1"/>
        <s v="RJ 1" u="1"/>
        <s v="SP2 / RJ 2" u="1"/>
        <s v="FÍSICAS BB" u="1"/>
      </sharedItems>
    </cacheField>
    <cacheField name="MEDIANA indicação/hc" numFmtId="0">
      <sharedItems containsSemiMixedTypes="0" containsString="0" containsNumber="1" minValue="0.17971014492753623" maxValue="0.69973374613003103" count="17">
        <n v="0.62"/>
        <n v="0.55144501278772373"/>
        <n v="0.66142857142857137"/>
        <n v="0.69973374613003103"/>
        <n v="0.22337535014005602"/>
        <n v="0.40021066491112578"/>
        <n v="0.46740476190476188"/>
        <n v="0.35924528301886793"/>
        <n v="0.50355731225296441"/>
        <n v="0.44432011935208859"/>
        <n v="0.58152173913043481"/>
        <n v="0.65982789855072466"/>
        <n v="0.17971014492753623"/>
        <n v="0.51082087129655673"/>
        <n v="0.44758541781740707"/>
        <n v="0.31521739130434784"/>
        <n v="0.65"/>
      </sharedItems>
    </cacheField>
    <cacheField name="MEDIANA ATIVIDADES/HC" numFmtId="0">
      <sharedItems containsSemiMixedTypes="0" containsString="0" containsNumber="1" minValue="7.8201992753623184" maxValue="15" count="17">
        <n v="12.06"/>
        <n v="10.543888888888887"/>
        <n v="14.689090909090909"/>
        <n v="11.247142857142856"/>
        <n v="9.9039999999999999"/>
        <n v="9.8133333333333326"/>
        <n v="10.219999999999999"/>
        <n v="9.3533333333333335"/>
        <n v="9.4927536231884062"/>
        <n v="7.8201992753623184"/>
        <n v="13.344861660079051"/>
        <n v="9.2876811594202913"/>
        <n v="8.2554347826086953"/>
        <n v="9.6521739130434785"/>
        <n v="8.6159420289855078"/>
        <n v="8.1413043478260878"/>
        <n v="15"/>
      </sharedItems>
    </cacheField>
    <cacheField name="MEDIANA CONTAS/HC" numFmtId="0">
      <sharedItems containsSemiMixedTypes="0" containsString="0" containsNumber="1" minValue="1.714233841684822" maxValue="3.0133333333333332" count="23">
        <n v="2.7333333333333329"/>
        <n v="2.7133333333333329"/>
        <n v="3.0133333333333332"/>
        <n v="2.6436090225563911"/>
        <n v="2.0566666666666666"/>
        <n v="2.6930000000000001"/>
        <n v="2.8899999999999997"/>
        <n v="2.92"/>
        <n v="2.4565217391304346"/>
        <n v="2.2463768115942031"/>
        <n v="2.666666666666667"/>
        <n v="2.3351449275362315"/>
        <n v="1.8152173913043477"/>
        <n v="2.6956521739130435"/>
        <n v="2.5804347826086955"/>
        <n v="2.1257536606373817"/>
        <n v="2.1011011011011012"/>
        <n v="2.406900050735667"/>
        <n v="2.1363636363636362"/>
        <n v="1.714233841684822"/>
        <n v="2.5204678362573101"/>
        <n v="2.3935185185185186"/>
        <n v="2.2992592592592591"/>
      </sharedItems>
    </cacheField>
    <cacheField name="MEDIANA Seguro %" numFmtId="0">
      <sharedItems containsSemiMixedTypes="0" containsString="0" containsNumber="1" minValue="0.33936651583710409" maxValue="0.65227440995359087" count="17">
        <n v="0.51491053677932408"/>
        <n v="0.41859248001549593"/>
        <n v="0.57860615883306321"/>
        <n v="0.60263291139240505"/>
        <n v="0.50316455696202533"/>
        <n v="0.59655870445344128"/>
        <n v="0.42020560317929517"/>
        <n v="0.33936651583710409"/>
        <n v="0.54090909090909089"/>
        <n v="0.43960483960483965"/>
        <n v="0.56804733727810652"/>
        <n v="0.65227440995359087"/>
        <n v="0.54680530149866824"/>
        <n v="0.59323232323232322"/>
        <n v="0.51135849909584086"/>
        <n v="0.47096774193548385"/>
        <n v="0.6"/>
      </sharedItems>
    </cacheField>
    <cacheField name="MEDIANA % Ativacao Imediata" numFmtId="0">
      <sharedItems containsSemiMixedTypes="0" containsString="0" containsNumber="1" minValue="0.64739125359894167" maxValue="0.75211966085426329" count="17">
        <n v="0.67906976744186043"/>
        <n v="0.75211966085426329"/>
        <n v="0.74479166666666663"/>
        <n v="0.73607013133647914"/>
        <n v="0.68391366604966297"/>
        <n v="0.68986676016830295"/>
        <n v="0.67300644381796215"/>
        <n v="0.64968152866242035"/>
        <n v="0.73599999999999999"/>
        <n v="0.73450633491339057"/>
        <n v="0.75054704595185995"/>
        <n v="0.73987438567549924"/>
        <n v="0.64739125359894167"/>
        <n v="0.70666458072590743"/>
        <n v="0.65357875207499272"/>
        <n v="0.72799999999999998"/>
        <n v="0.75"/>
      </sharedItems>
    </cacheField>
    <cacheField name="MEDIANA Paticip %" numFmtId="0">
      <sharedItems containsSemiMixedTypes="0" containsString="0" containsNumber="1" minValue="0.1082665072215496" maxValue="0.24112221953122209" count="24">
        <n v="0.20451571934862894"/>
        <n v="0.16249539538767377"/>
        <n v="0.20891833344954092"/>
        <n v="0.20704089748554955"/>
        <n v="0.1082665072215496"/>
        <n v="0.12356246495718083"/>
        <n v="0.14046086379222067"/>
        <n v="0.13309878698011596"/>
        <n v="0.21029950763071178"/>
        <n v="0.17010802004394487"/>
        <n v="0.23301990406306902"/>
        <n v="0.21407437736714172"/>
        <n v="0.11418963094672704"/>
        <n v="0.14073854420712828"/>
        <n v="0.14285006585082222"/>
        <n v="0.15218992203736659"/>
        <n v="0.23009590122931084"/>
        <n v="0.18046394614492786"/>
        <n v="0.24112221953122209"/>
        <n v="0.22605671656302287"/>
        <n v="0.1158411276399097"/>
        <n v="0.15154715771568214"/>
        <n v="0.15038286491402345"/>
        <n v="0.16714687788751934"/>
      </sharedItems>
    </cacheField>
    <cacheField name="DESVIO indicação/hc" numFmtId="0">
      <sharedItems containsSemiMixedTypes="0" containsString="0" containsNumber="1" minValue="0" maxValue="0.40919173110948293" count="17">
        <n v="0.2508347857405972"/>
        <n v="0.23900031421954526"/>
        <n v="0.25457936251370289"/>
        <n v="0.40919173110948293"/>
        <n v="0.17388993263790264"/>
        <n v="0.16378405910378699"/>
        <n v="0.27929422797931136"/>
        <n v="0.19485674777002709"/>
        <n v="0.23109594827085114"/>
        <n v="0.22366908841383579"/>
        <n v="0.28776031882058434"/>
        <n v="0.30935887725261502"/>
        <n v="0.13929136123650943"/>
        <n v="0.18513081885714283"/>
        <n v="0.27119139173251111"/>
        <n v="0.17745848295468195"/>
        <n v="0"/>
      </sharedItems>
    </cacheField>
    <cacheField name="DESVIO ATIVIDADES/HC" numFmtId="0">
      <sharedItems containsSemiMixedTypes="0" containsString="0" containsNumber="1" minValue="0" maxValue="4.4833327154209606" count="17">
        <n v="3.6148336666875274"/>
        <n v="2.9881120541576855"/>
        <n v="3.8048801540355202"/>
        <n v="3.2341325700336512"/>
        <n v="3.6201440666785687"/>
        <n v="2.391986827306368"/>
        <n v="2.773090719433287"/>
        <n v="3.0457414270715235"/>
        <n v="2.3298297784666353"/>
        <n v="2.1103972589013895"/>
        <n v="4.4833327154209606"/>
        <n v="2.0411702627076194"/>
        <n v="2.6706213688405351"/>
        <n v="2.2640480247841439"/>
        <n v="2.4275787316996116"/>
        <n v="2.6275841381452572"/>
        <n v="0"/>
      </sharedItems>
    </cacheField>
    <cacheField name="DESVIO CONTAS/HC" numFmtId="0">
      <sharedItems containsSemiMixedTypes="0" containsString="0" containsNumber="1" minValue="0" maxValue="0.9211385319230827" count="17">
        <n v="0.91162455602290171"/>
        <n v="0.77772023939858825"/>
        <n v="0.64374508603063674"/>
        <n v="0.73837237284096202"/>
        <n v="0.65997658261921266"/>
        <n v="0.66391427106344181"/>
        <n v="0.59298886241808013"/>
        <n v="0.9211385319230827"/>
        <n v="0.7819699253300717"/>
        <n v="0.52531287485321176"/>
        <n v="0.79608980008432773"/>
        <n v="0.47835299869261233"/>
        <n v="0.48191948831828807"/>
        <n v="0.69859545883257701"/>
        <n v="0.54678426328357954"/>
        <n v="0.75891350378992406"/>
        <n v="0"/>
      </sharedItems>
    </cacheField>
    <cacheField name="DESVIO Seguro %" numFmtId="0">
      <sharedItems containsSemiMixedTypes="0" containsString="0" containsNumber="1" minValue="0" maxValue="0.2767166198158143" count="17">
        <n v="0.19085842281328205"/>
        <n v="0.22145078098671081"/>
        <n v="0.1772906880829917"/>
        <n v="0.17883114315186963"/>
        <n v="0.20274757987906766"/>
        <n v="0.20579781955678655"/>
        <n v="0.23563552340015342"/>
        <n v="0.2767166198158143"/>
        <n v="0.18937263888167921"/>
        <n v="0.21535667245069504"/>
        <n v="0.22586334224169854"/>
        <n v="0.14653766853037625"/>
        <n v="0.23117928825172901"/>
        <n v="0.23490367374674354"/>
        <n v="0.24748323893628979"/>
        <n v="0.25252553438387776"/>
        <n v="0"/>
      </sharedItems>
    </cacheField>
    <cacheField name="DESVIO % Ativacao Imediata" numFmtId="0">
      <sharedItems containsSemiMixedTypes="0" containsString="0" containsNumber="1" minValue="0" maxValue="0.16795446781511764" count="17">
        <n v="0.15216829088764738"/>
        <n v="0.11412650477916572"/>
        <n v="9.4391521786036742E-2"/>
        <n v="0.11402306801297704"/>
        <n v="0.12470365812780188"/>
        <n v="0.10677158919373821"/>
        <n v="0.14102014111570324"/>
        <n v="0.16795446781511764"/>
        <n v="0.13293606262122939"/>
        <n v="8.9979802531116843E-2"/>
        <n v="8.9800609560444986E-2"/>
        <n v="9.089443124722936E-2"/>
        <n v="0.11258889401099273"/>
        <n v="0.10491013447485938"/>
        <n v="0.1492614317255459"/>
        <n v="0.16342636486327147"/>
        <n v="0"/>
      </sharedItems>
    </cacheField>
    <cacheField name="DESVIO Paticip %" numFmtId="0">
      <sharedItems containsSemiMixedTypes="0" containsString="0" containsNumber="1" minValue="0" maxValue="7.4897250691442943E-2" count="17">
        <n v="6.7018712794839869E-2"/>
        <n v="4.6669030802574958E-2"/>
        <n v="6.1903425700443354E-2"/>
        <n v="6.6875453851120537E-2"/>
        <n v="2.918740090061793E-2"/>
        <n v="2.6705518401988294E-2"/>
        <n v="4.063576962035944E-2"/>
        <n v="5.4116366361956512E-2"/>
        <n v="7.1404996208534327E-2"/>
        <n v="5.0124998655094545E-2"/>
        <n v="6.597919394723209E-2"/>
        <n v="6.6265790986294357E-2"/>
        <n v="3.3620803184727217E-2"/>
        <n v="3.3818148396843321E-2"/>
        <n v="4.1591792889601797E-2"/>
        <n v="7.4897250691442943E-2"/>
        <n v="0"/>
      </sharedItems>
    </cacheField>
    <cacheField name="MEDIA indicação/hc" numFmtId="0">
      <sharedItems containsSemiMixedTypes="0" containsString="0" containsNumber="1" minValue="0.19965423173903996" maxValue="0.78016138725029294" count="17">
        <n v="0.60807393158359013"/>
        <n v="0.53702164216399439"/>
        <n v="0.65655563121804084"/>
        <n v="0.78016138725029294"/>
        <n v="0.25679270040970614"/>
        <n v="0.4701350819351206"/>
        <n v="0.50964190044576851"/>
        <n v="0.36771624375512463"/>
        <n v="0.53251254715535634"/>
        <n v="0.48211961007515597"/>
        <n v="0.60600392001077286"/>
        <n v="0.71688714711665713"/>
        <n v="0.19965423173903996"/>
        <n v="0.5395592760765674"/>
        <n v="0.50741328549129661"/>
        <n v="0.35193055515822286"/>
        <n v="0.65"/>
      </sharedItems>
    </cacheField>
    <cacheField name="MEDIA ATIVIDADES/HC" numFmtId="0">
      <sharedItems containsSemiMixedTypes="0" containsString="0" containsNumber="1" minValue="8.0345738440303673" maxValue="15.427970693327836" count="17">
        <n v="11.185140394088672"/>
        <n v="9.6898852693602731"/>
        <n v="15.427970693327836"/>
        <n v="10.653248762932975"/>
        <n v="9.3113020833333344"/>
        <n v="10.695511904761908"/>
        <n v="10.778543650793649"/>
        <n v="9.3442463768115953"/>
        <n v="9.0672770757478407"/>
        <n v="8.0345738440303673"/>
        <n v="13.113630239096075"/>
        <n v="9.4068173499523606"/>
        <n v="8.2737318840579732"/>
        <n v="9.8872347308488617"/>
        <n v="8.6260891131815018"/>
        <n v="8.8158947700063006"/>
        <n v="15"/>
      </sharedItems>
    </cacheField>
    <cacheField name="MEDIA CONTAS/HC" numFmtId="0">
      <sharedItems containsSemiMixedTypes="0" containsString="0" containsNumber="1" minValue="1.714233841684822" maxValue="3.0583949013949003" count="24">
        <n v="2.7399064039408869"/>
        <n v="2.6578819865319856"/>
        <n v="3.0583949013949003"/>
        <n v="2.5692975387185917"/>
        <n v="2.1031666666666666"/>
        <n v="2.6741190476190475"/>
        <n v="2.8187321428571424"/>
        <n v="2.6890434782608694"/>
        <n v="2.4074337831084462"/>
        <n v="2.3417468944099378"/>
        <n v="2.6984985166662185"/>
        <n v="2.3578636530009529"/>
        <n v="1.8377038043478264"/>
        <n v="2.7498576604554863"/>
        <n v="2.5777864044168393"/>
        <n v="2.6720541902961559"/>
        <n v="2.1257536606373817"/>
        <n v="2.1011011011011012"/>
        <n v="2.406900050735667"/>
        <n v="2.1363636363636362"/>
        <n v="1.714233841684822"/>
        <n v="2.5204678362573101"/>
        <n v="2.3935185185185186"/>
        <n v="2.2992592592592591"/>
      </sharedItems>
    </cacheField>
    <cacheField name="MEDIA Seguro %" numFmtId="0">
      <sharedItems containsSemiMixedTypes="0" containsString="0" containsNumber="1" minValue="0.35875812230661119" maxValue="0.64840933545639179" count="17">
        <n v="0.51968623104921219"/>
        <n v="0.37210538877479987"/>
        <n v="0.54553446040874465"/>
        <n v="0.58517912444499942"/>
        <n v="0.50482781675614841"/>
        <n v="0.53151927442584634"/>
        <n v="0.40666334551499389"/>
        <n v="0.35875812230661119"/>
        <n v="0.52588167363768146"/>
        <n v="0.38767780836044807"/>
        <n v="0.52378701642929337"/>
        <n v="0.64840933545639179"/>
        <n v="0.49351601771153619"/>
        <n v="0.5319946313207421"/>
        <n v="0.47354656624934605"/>
        <n v="0.4463172706544139"/>
        <n v="0.6"/>
      </sharedItems>
    </cacheField>
    <cacheField name="MEDIA % Ativacao Imediata" numFmtId="0">
      <sharedItems containsSemiMixedTypes="0" containsString="0" containsNumber="1" minValue="0.63750530688785945" maxValue="0.76441100851330201" count="17">
        <n v="0.69753033113695062"/>
        <n v="0.74195526890238606"/>
        <n v="0.73618635252239228"/>
        <n v="0.72194123352457118"/>
        <n v="0.67538349443186418"/>
        <n v="0.68147339505483984"/>
        <n v="0.65281194875107729"/>
        <n v="0.63750530688785945"/>
        <n v="0.73058113061681951"/>
        <n v="0.73904667233328103"/>
        <n v="0.76441100851330201"/>
        <n v="0.73931875133293912"/>
        <n v="0.66490511882211867"/>
        <n v="0.69555810035522747"/>
        <n v="0.68719914640389879"/>
        <n v="0.69941625515828965"/>
        <n v="0.75"/>
      </sharedItems>
    </cacheField>
    <cacheField name="MEDIA Paticip %" numFmtId="0">
      <sharedItems containsSemiMixedTypes="0" containsString="0" containsNumber="1" minValue="0.10515934060525796" maxValue="0.24112221953122209" count="24">
        <n v="0.21209730289903048"/>
        <n v="0.15927566385754932"/>
        <n v="0.21632201163252773"/>
        <n v="0.21463517886672456"/>
        <n v="0.10515934060525796"/>
        <n v="0.12677798350383604"/>
        <n v="0.13713368171530985"/>
        <n v="0.13467631031762486"/>
        <n v="0.21842301784474716"/>
        <n v="0.17025412875325166"/>
        <n v="0.23318412523652807"/>
        <n v="0.22495464732814899"/>
        <n v="0.11200936006823332"/>
        <n v="0.14663305977087024"/>
        <n v="0.1453041463766824"/>
        <n v="0.15926468144695788"/>
        <n v="0.23009590122931084"/>
        <n v="0.18046394614492786"/>
        <n v="0.24112221953122209"/>
        <n v="0.22605671656302287"/>
        <n v="0.1158411276399097"/>
        <n v="0.15154715771568214"/>
        <n v="0.15038286491402345"/>
        <n v="0.16714687788751934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404896" refreshedDate="40245.423838425922" createdVersion="3" refreshedVersion="3" minRefreshableVersion="3" recordCount="3">
  <cacheSource type="external" connectionId="1"/>
  <cacheFields count="20">
    <cacheField name="COMP" numFmtId="0">
      <sharedItems count="6">
        <s v="Anterior"/>
        <s v="Atual"/>
        <s v="Meta"/>
        <s v="Até Novembro" u="1"/>
        <s v="Novembro" u="1"/>
        <s v="Até Junho" u="1"/>
      </sharedItems>
    </cacheField>
    <cacheField name="REGIONAL" numFmtId="0">
      <sharedItems count="1">
        <s v="BRASIL"/>
      </sharedItems>
    </cacheField>
    <cacheField name="MEDIANA indicação/hc" numFmtId="0">
      <sharedItems containsSemiMixedTypes="0" containsString="0" containsNumber="1" minValue="0.46291560102301788" maxValue="0.65" count="3">
        <n v="0.4631578947368421"/>
        <n v="0.46291560102301788"/>
        <n v="0.65"/>
      </sharedItems>
    </cacheField>
    <cacheField name="MEDIANA ATIVIDADES/HC" numFmtId="0">
      <sharedItems containsSemiMixedTypes="0" containsString="0" containsNumber="1" minValue="8.9927536231884062" maxValue="15" count="3">
        <n v="10.61"/>
        <n v="8.9927536231884062"/>
        <n v="15"/>
      </sharedItems>
    </cacheField>
    <cacheField name="MEDIANA CONTAS/HC" numFmtId="0">
      <sharedItems containsSemiMixedTypes="0" containsString="0" containsNumber="1" minValue="2.1933251933251934" maxValue="2.706666666666667" count="3">
        <n v="2.706666666666667"/>
        <n v="2.4028985507246374"/>
        <n v="2.1933251933251934"/>
      </sharedItems>
    </cacheField>
    <cacheField name="MEDIANA Seguro %" numFmtId="0">
      <sharedItems containsSemiMixedTypes="0" containsString="0" containsNumber="1" minValue="0.48786407766990292" maxValue="0.6" count="3">
        <n v="0.48786407766990292"/>
        <n v="0.54004576659038905"/>
        <n v="0.6"/>
      </sharedItems>
    </cacheField>
    <cacheField name="MEDIANA % Ativacao Imediata" numFmtId="0">
      <sharedItems containsSemiMixedTypes="0" containsString="0" containsNumber="1" minValue="0.6964285714285714" maxValue="0.75" count="3">
        <n v="0.6964285714285714"/>
        <n v="0.72635814889336014"/>
        <n v="0.75"/>
      </sharedItems>
    </cacheField>
    <cacheField name="MEDIANA Paticip %" numFmtId="0">
      <sharedItems containsSemiMixedTypes="0" containsString="0" containsNumber="1" minValue="0.15125424169318263" maxValue="0.17849921038057348" count="3">
        <n v="0.15125424169318263"/>
        <n v="0.16143713739326601"/>
        <n v="0.17849921038057348"/>
      </sharedItems>
    </cacheField>
    <cacheField name="DESVIO indicação/hc" numFmtId="0">
      <sharedItems containsSemiMixedTypes="0" containsString="0" containsNumber="1" minValue="0" maxValue="0.29644975199808166" count="3">
        <n v="0.29644975199808166"/>
        <n v="0.27417157095575406"/>
        <n v="0"/>
      </sharedItems>
    </cacheField>
    <cacheField name="DESVIO ATIVIDADES/HC" numFmtId="0">
      <sharedItems containsSemiMixedTypes="0" containsString="0" containsNumber="1" minValue="0" maxValue="3.6064944544349182" count="3">
        <n v="3.6064944544349182"/>
        <n v="2.9637529669532054"/>
        <n v="0"/>
      </sharedItems>
    </cacheField>
    <cacheField name="DESVIO CONTAS/HC" numFmtId="0">
      <sharedItems containsSemiMixedTypes="0" containsString="0" containsNumber="1" minValue="0" maxValue="0.78231389863532885" count="3">
        <n v="0.78231389863532885"/>
        <n v="0.68965043188001962"/>
        <n v="0"/>
      </sharedItems>
    </cacheField>
    <cacheField name="DESVIO Seguro %" numFmtId="0">
      <sharedItems containsSemiMixedTypes="0" containsString="0" containsNumber="1" minValue="0" maxValue="0.22717229528854838" count="3">
        <n v="0.22363371946630728"/>
        <n v="0.22717229528854838"/>
        <n v="0"/>
      </sharedItems>
    </cacheField>
    <cacheField name="DESVIO % Ativacao Imediata" numFmtId="0">
      <sharedItems containsSemiMixedTypes="0" containsString="0" containsNumber="1" minValue="0" maxValue="0.13169681066128947" count="3">
        <n v="0.13169681066128947"/>
        <n v="0.12104871864463466"/>
        <n v="0"/>
      </sharedItems>
    </cacheField>
    <cacheField name="DESVIO Paticip %" numFmtId="0">
      <sharedItems containsSemiMixedTypes="0" containsString="0" containsNumber="1" minValue="0" maxValue="6.938612066996068E-2" count="3">
        <n v="6.5588005279298561E-2"/>
        <n v="6.938612066996068E-2"/>
        <n v="0"/>
      </sharedItems>
    </cacheField>
    <cacheField name="MEDIA indicação/hc" numFmtId="0">
      <sharedItems containsSemiMixedTypes="0" containsString="0" containsNumber="1" minValue="0.48269033481787799" maxValue="0.65" count="3">
        <n v="0.51677581436148445"/>
        <n v="0.48269033481787799"/>
        <n v="0.65"/>
      </sharedItems>
    </cacheField>
    <cacheField name="MEDIA ATIVIDADES/HC" numFmtId="0">
      <sharedItems containsSemiMixedTypes="0" containsString="0" containsNumber="1" minValue="9.2621842530818483" maxValue="15" count="3">
        <n v="10.738249514699469"/>
        <n v="9.2621842530818483"/>
        <n v="15"/>
      </sharedItems>
    </cacheField>
    <cacheField name="MEDIA CONTAS/HC" numFmtId="0">
      <sharedItems containsSemiMixedTypes="0" containsString="0" containsNumber="1" minValue="2.1933251933251934" maxValue="2.6373183547893952" count="3">
        <n v="2.6373183547893952"/>
        <n v="2.421857110255198"/>
        <n v="2.1933251933251934"/>
      </sharedItems>
    </cacheField>
    <cacheField name="MEDIA Seguro %" numFmtId="0">
      <sharedItems containsSemiMixedTypes="0" containsString="0" containsNumber="1" minValue="0.47764235930934817" maxValue="0.6" count="3">
        <n v="0.47764235930934817"/>
        <n v="0.50205680089325544"/>
        <n v="0.6"/>
      </sharedItems>
    </cacheField>
    <cacheField name="MEDIA % Ativacao Imediata" numFmtId="0">
      <sharedItems containsSemiMixedTypes="0" containsString="0" containsNumber="1" minValue="0.6938524654365299" maxValue="0.75" count="3">
        <n v="0.6938524654365299"/>
        <n v="0.71379369983009278"/>
        <n v="0.75"/>
      </sharedItems>
    </cacheField>
    <cacheField name="MEDIA Paticip %" numFmtId="0">
      <sharedItems containsSemiMixedTypes="0" containsString="0" containsNumber="1" minValue="0.16195647175382497" maxValue="0.17849921038057348" count="3">
        <n v="0.16195647175382497"/>
        <n v="0.17436104776841596"/>
        <n v="0.17849921038057348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404896" refreshedDate="40245.426022222222" createdVersion="3" refreshedVersion="3" minRefreshableVersion="3" recordCount="27">
  <cacheSource type="worksheet">
    <worksheetSource ref="G3:K30" sheet="Dados"/>
  </cacheSource>
  <cacheFields count="5">
    <cacheField name="Regiao" numFmtId="0">
      <sharedItems count="10">
        <s v="BRASIL"/>
        <s v="CENTROESTE"/>
        <s v="NORDESTE"/>
        <s v="NORTE"/>
        <s v="RIO"/>
        <s v="SP1"/>
        <s v="SUL"/>
        <s v="MG / ES / BA"/>
        <s v="SP2 / Rio Reg Serrana"/>
        <s v="Centro Oeste" u="1"/>
      </sharedItems>
    </cacheField>
    <cacheField name="Tempo" numFmtId="0">
      <sharedItems count="12">
        <s v="Janeiro 2010"/>
        <s v="Fevereiro 2010"/>
        <s v="Meta"/>
        <s v="Até Novembro" u="1"/>
        <s v="Fev 2010 até 21" u="1"/>
        <s v="Anterior" u="1"/>
        <s v="Set/09 a Nov/09" u="1"/>
        <s v="Atual" u="1"/>
        <s v="Fev 2010 até 17" u="1"/>
        <s v="Últimos 3 Meses" u="1"/>
        <s v="Fev 2010 até 9" u="1"/>
        <s v="Até Junho" u="1"/>
      </sharedItems>
    </cacheField>
    <cacheField name="Mediana" numFmtId="0">
      <sharedItems containsSemiMixedTypes="0" containsString="0" containsNumber="1" minValue="0.33936651583710409" maxValue="0.65227440995359087"/>
    </cacheField>
    <cacheField name="Média" numFmtId="0">
      <sharedItems containsSemiMixedTypes="0" containsString="0" containsNumber="1" minValue="0.35875812230661119" maxValue="0.64840933545639179"/>
    </cacheField>
    <cacheField name="Desvio" numFmtId="0">
      <sharedItems containsSemiMixedTypes="0" containsString="0" containsNumber="1" minValue="0" maxValue="0.27671661981581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</r>
  <r>
    <x v="0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</r>
  <r>
    <x v="0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</r>
  <r>
    <x v="0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</r>
  <r>
    <x v="0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</r>
  <r>
    <x v="0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</r>
  <r>
    <x v="0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</r>
  <r>
    <x v="1"/>
    <x v="0"/>
    <x v="8"/>
    <x v="8"/>
    <x v="8"/>
    <x v="8"/>
    <x v="8"/>
    <x v="8"/>
    <x v="8"/>
    <x v="8"/>
    <x v="8"/>
    <x v="8"/>
    <x v="8"/>
    <x v="8"/>
    <x v="8"/>
    <x v="8"/>
    <x v="8"/>
    <x v="8"/>
    <x v="8"/>
    <x v="8"/>
  </r>
  <r>
    <x v="1"/>
    <x v="1"/>
    <x v="9"/>
    <x v="9"/>
    <x v="9"/>
    <x v="9"/>
    <x v="9"/>
    <x v="9"/>
    <x v="9"/>
    <x v="9"/>
    <x v="9"/>
    <x v="9"/>
    <x v="9"/>
    <x v="9"/>
    <x v="9"/>
    <x v="9"/>
    <x v="9"/>
    <x v="9"/>
    <x v="9"/>
    <x v="9"/>
  </r>
  <r>
    <x v="1"/>
    <x v="2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</r>
  <r>
    <x v="1"/>
    <x v="3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</r>
  <r>
    <x v="1"/>
    <x v="4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</r>
  <r>
    <x v="1"/>
    <x v="5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</r>
  <r>
    <x v="1"/>
    <x v="6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</r>
  <r>
    <x v="1"/>
    <x v="7"/>
    <x v="15"/>
    <x v="15"/>
    <x v="10"/>
    <x v="15"/>
    <x v="15"/>
    <x v="15"/>
    <x v="15"/>
    <x v="15"/>
    <x v="15"/>
    <x v="15"/>
    <x v="15"/>
    <x v="15"/>
    <x v="15"/>
    <x v="15"/>
    <x v="15"/>
    <x v="15"/>
    <x v="15"/>
    <x v="15"/>
  </r>
  <r>
    <x v="2"/>
    <x v="0"/>
    <x v="16"/>
    <x v="16"/>
    <x v="15"/>
    <x v="16"/>
    <x v="16"/>
    <x v="16"/>
    <x v="16"/>
    <x v="16"/>
    <x v="16"/>
    <x v="16"/>
    <x v="16"/>
    <x v="16"/>
    <x v="16"/>
    <x v="16"/>
    <x v="16"/>
    <x v="16"/>
    <x v="16"/>
    <x v="16"/>
  </r>
  <r>
    <x v="2"/>
    <x v="1"/>
    <x v="16"/>
    <x v="16"/>
    <x v="16"/>
    <x v="16"/>
    <x v="16"/>
    <x v="17"/>
    <x v="16"/>
    <x v="16"/>
    <x v="16"/>
    <x v="16"/>
    <x v="16"/>
    <x v="16"/>
    <x v="16"/>
    <x v="16"/>
    <x v="17"/>
    <x v="16"/>
    <x v="16"/>
    <x v="17"/>
  </r>
  <r>
    <x v="2"/>
    <x v="2"/>
    <x v="16"/>
    <x v="16"/>
    <x v="17"/>
    <x v="16"/>
    <x v="16"/>
    <x v="18"/>
    <x v="16"/>
    <x v="16"/>
    <x v="16"/>
    <x v="16"/>
    <x v="16"/>
    <x v="16"/>
    <x v="16"/>
    <x v="16"/>
    <x v="18"/>
    <x v="16"/>
    <x v="16"/>
    <x v="18"/>
  </r>
  <r>
    <x v="2"/>
    <x v="3"/>
    <x v="16"/>
    <x v="16"/>
    <x v="18"/>
    <x v="16"/>
    <x v="16"/>
    <x v="19"/>
    <x v="16"/>
    <x v="16"/>
    <x v="16"/>
    <x v="16"/>
    <x v="16"/>
    <x v="16"/>
    <x v="16"/>
    <x v="16"/>
    <x v="19"/>
    <x v="16"/>
    <x v="16"/>
    <x v="19"/>
  </r>
  <r>
    <x v="2"/>
    <x v="4"/>
    <x v="16"/>
    <x v="16"/>
    <x v="19"/>
    <x v="16"/>
    <x v="16"/>
    <x v="20"/>
    <x v="16"/>
    <x v="16"/>
    <x v="16"/>
    <x v="16"/>
    <x v="16"/>
    <x v="16"/>
    <x v="16"/>
    <x v="16"/>
    <x v="20"/>
    <x v="16"/>
    <x v="16"/>
    <x v="20"/>
  </r>
  <r>
    <x v="2"/>
    <x v="5"/>
    <x v="16"/>
    <x v="16"/>
    <x v="20"/>
    <x v="16"/>
    <x v="16"/>
    <x v="21"/>
    <x v="16"/>
    <x v="16"/>
    <x v="16"/>
    <x v="16"/>
    <x v="16"/>
    <x v="16"/>
    <x v="16"/>
    <x v="16"/>
    <x v="21"/>
    <x v="16"/>
    <x v="16"/>
    <x v="21"/>
  </r>
  <r>
    <x v="2"/>
    <x v="6"/>
    <x v="16"/>
    <x v="16"/>
    <x v="21"/>
    <x v="16"/>
    <x v="16"/>
    <x v="22"/>
    <x v="16"/>
    <x v="16"/>
    <x v="16"/>
    <x v="16"/>
    <x v="16"/>
    <x v="16"/>
    <x v="16"/>
    <x v="16"/>
    <x v="22"/>
    <x v="16"/>
    <x v="16"/>
    <x v="22"/>
  </r>
  <r>
    <x v="2"/>
    <x v="7"/>
    <x v="16"/>
    <x v="16"/>
    <x v="22"/>
    <x v="16"/>
    <x v="16"/>
    <x v="23"/>
    <x v="16"/>
    <x v="16"/>
    <x v="16"/>
    <x v="16"/>
    <x v="16"/>
    <x v="16"/>
    <x v="16"/>
    <x v="16"/>
    <x v="23"/>
    <x v="16"/>
    <x v="16"/>
    <x v="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</r>
  <r>
    <x v="2"/>
    <x v="0"/>
    <x v="2"/>
    <x v="2"/>
    <x v="2"/>
    <x v="2"/>
    <x v="2"/>
    <x v="2"/>
    <x v="2"/>
    <x v="2"/>
    <x v="2"/>
    <x v="2"/>
    <x v="2"/>
    <x v="2"/>
    <x v="2"/>
    <x v="2"/>
    <x v="2"/>
    <x v="2"/>
    <x v="2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">
  <r>
    <x v="0"/>
    <x v="0"/>
    <n v="0.48786407766990292"/>
    <n v="0.47764235930934817"/>
    <n v="0.22363371946630728"/>
  </r>
  <r>
    <x v="0"/>
    <x v="1"/>
    <n v="0.54004576659038905"/>
    <n v="0.50205680089325544"/>
    <n v="0.22717229528854838"/>
  </r>
  <r>
    <x v="0"/>
    <x v="2"/>
    <n v="0.6"/>
    <n v="0.6"/>
    <n v="0"/>
  </r>
  <r>
    <x v="1"/>
    <x v="0"/>
    <n v="0.51491053677932408"/>
    <n v="0.51968623104921219"/>
    <n v="0.19085842281328205"/>
  </r>
  <r>
    <x v="1"/>
    <x v="1"/>
    <n v="0.54090909090909089"/>
    <n v="0.52588167363768146"/>
    <n v="0.18937263888167921"/>
  </r>
  <r>
    <x v="1"/>
    <x v="2"/>
    <n v="0.6"/>
    <n v="0.6"/>
    <n v="0"/>
  </r>
  <r>
    <x v="2"/>
    <x v="0"/>
    <n v="0.57860615883306321"/>
    <n v="0.54553446040874465"/>
    <n v="0.1772906880829917"/>
  </r>
  <r>
    <x v="2"/>
    <x v="1"/>
    <n v="0.56804733727810652"/>
    <n v="0.52378701642929337"/>
    <n v="0.22586334224169854"/>
  </r>
  <r>
    <x v="2"/>
    <x v="2"/>
    <n v="0.6"/>
    <n v="0.6"/>
    <n v="0"/>
  </r>
  <r>
    <x v="3"/>
    <x v="0"/>
    <n v="0.60263291139240505"/>
    <n v="0.58517912444499942"/>
    <n v="0.17883114315186963"/>
  </r>
  <r>
    <x v="3"/>
    <x v="1"/>
    <n v="0.65227440995359087"/>
    <n v="0.64840933545639179"/>
    <n v="0.14653766853037625"/>
  </r>
  <r>
    <x v="3"/>
    <x v="2"/>
    <n v="0.6"/>
    <n v="0.6"/>
    <n v="0"/>
  </r>
  <r>
    <x v="4"/>
    <x v="0"/>
    <n v="0.50316455696202533"/>
    <n v="0.50482781675614841"/>
    <n v="0.20274757987906766"/>
  </r>
  <r>
    <x v="4"/>
    <x v="1"/>
    <n v="0.54680530149866824"/>
    <n v="0.49351601771153619"/>
    <n v="0.23117928825172901"/>
  </r>
  <r>
    <x v="4"/>
    <x v="2"/>
    <n v="0.6"/>
    <n v="0.6"/>
    <n v="0"/>
  </r>
  <r>
    <x v="5"/>
    <x v="0"/>
    <n v="0.59655870445344128"/>
    <n v="0.53151927442584634"/>
    <n v="0.20579781955678655"/>
  </r>
  <r>
    <x v="5"/>
    <x v="1"/>
    <n v="0.59323232323232322"/>
    <n v="0.5319946313207421"/>
    <n v="0.23490367374674354"/>
  </r>
  <r>
    <x v="5"/>
    <x v="2"/>
    <n v="0.6"/>
    <n v="0.6"/>
    <n v="0"/>
  </r>
  <r>
    <x v="6"/>
    <x v="0"/>
    <n v="0.33936651583710409"/>
    <n v="0.35875812230661119"/>
    <n v="0.2767166198158143"/>
  </r>
  <r>
    <x v="6"/>
    <x v="1"/>
    <n v="0.47096774193548385"/>
    <n v="0.4463172706544139"/>
    <n v="0.25252553438387776"/>
  </r>
  <r>
    <x v="6"/>
    <x v="2"/>
    <n v="0.6"/>
    <n v="0.6"/>
    <n v="0"/>
  </r>
  <r>
    <x v="7"/>
    <x v="0"/>
    <n v="0.41859248001549593"/>
    <n v="0.37210538877479987"/>
    <n v="0.22145078098671081"/>
  </r>
  <r>
    <x v="7"/>
    <x v="1"/>
    <n v="0.43960483960483965"/>
    <n v="0.38767780836044807"/>
    <n v="0.21535667245069504"/>
  </r>
  <r>
    <x v="7"/>
    <x v="2"/>
    <n v="0.6"/>
    <n v="0.6"/>
    <n v="0"/>
  </r>
  <r>
    <x v="8"/>
    <x v="0"/>
    <n v="0.42020560317929517"/>
    <n v="0.40666334551499389"/>
    <n v="0.23563552340015342"/>
  </r>
  <r>
    <x v="8"/>
    <x v="1"/>
    <n v="0.51135849909584086"/>
    <n v="0.47354656624934605"/>
    <n v="0.24748323893628979"/>
  </r>
  <r>
    <x v="8"/>
    <x v="2"/>
    <n v="0.6"/>
    <n v="0.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ela dinâmica2" cacheId="2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 fieldListSortAscending="1">
  <location ref="A1:S35" firstHeaderRow="1" firstDataRow="2" firstDataCol="1"/>
  <pivotFields count="20">
    <pivotField axis="axisRow" showAll="0">
      <items count="8">
        <item m="1" x="6"/>
        <item m="1" x="4"/>
        <item m="1" x="5"/>
        <item m="1" x="3"/>
        <item x="2"/>
        <item x="0"/>
        <item x="1"/>
        <item t="default"/>
      </items>
    </pivotField>
    <pivotField axis="axisRow" showAll="0">
      <items count="17">
        <item m="1" x="10"/>
        <item m="1" x="8"/>
        <item m="1" x="15"/>
        <item x="2"/>
        <item x="3"/>
        <item x="4"/>
        <item m="1" x="12"/>
        <item x="5"/>
        <item m="1" x="11"/>
        <item x="7"/>
        <item x="1"/>
        <item x="6"/>
        <item x="0"/>
        <item m="1" x="9"/>
        <item m="1" x="13"/>
        <item m="1"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2">
    <field x="1"/>
    <field x="0"/>
  </rowFields>
  <rowItems count="33">
    <i>
      <x v="3"/>
    </i>
    <i r="1">
      <x v="4"/>
    </i>
    <i r="1">
      <x v="5"/>
    </i>
    <i r="1">
      <x v="6"/>
    </i>
    <i>
      <x v="4"/>
    </i>
    <i r="1">
      <x v="4"/>
    </i>
    <i r="1">
      <x v="5"/>
    </i>
    <i r="1">
      <x v="6"/>
    </i>
    <i>
      <x v="5"/>
    </i>
    <i r="1">
      <x v="4"/>
    </i>
    <i r="1">
      <x v="5"/>
    </i>
    <i r="1">
      <x v="6"/>
    </i>
    <i>
      <x v="7"/>
    </i>
    <i r="1">
      <x v="4"/>
    </i>
    <i r="1">
      <x v="5"/>
    </i>
    <i r="1">
      <x v="6"/>
    </i>
    <i>
      <x v="9"/>
    </i>
    <i r="1">
      <x v="4"/>
    </i>
    <i r="1">
      <x v="5"/>
    </i>
    <i r="1">
      <x v="6"/>
    </i>
    <i>
      <x v="10"/>
    </i>
    <i r="1">
      <x v="4"/>
    </i>
    <i r="1">
      <x v="5"/>
    </i>
    <i r="1">
      <x v="6"/>
    </i>
    <i>
      <x v="11"/>
    </i>
    <i r="1">
      <x v="4"/>
    </i>
    <i r="1">
      <x v="5"/>
    </i>
    <i r="1">
      <x v="6"/>
    </i>
    <i>
      <x v="12"/>
    </i>
    <i r="1">
      <x v="4"/>
    </i>
    <i r="1">
      <x v="5"/>
    </i>
    <i r="1">
      <x v="6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Soma de MEDIANA indicação/hc" fld="2" baseField="0" baseItem="0"/>
    <dataField name="Soma de MEDIA indicação/hc" fld="14" baseField="0" baseItem="0"/>
    <dataField name="Soma de DESVIO indicação/hc" fld="8" baseField="0" baseItem="0"/>
    <dataField name="Soma de MEDIANA ATIVIDADES/HC" fld="3" baseField="0" baseItem="0"/>
    <dataField name="Soma de MEDIA ATIVIDADES/HC" fld="15" baseField="0" baseItem="0"/>
    <dataField name="Soma de DESVIO ATIVIDADES/HC" fld="9" baseField="0" baseItem="0"/>
    <dataField name="Soma de MEDIANA CONTAS/HC" fld="4" baseField="0" baseItem="0"/>
    <dataField name="Soma de MEDIA CONTAS/HC" fld="16" baseField="0" baseItem="0"/>
    <dataField name="Soma de DESVIO CONTAS/HC" fld="10" baseField="0" baseItem="0"/>
    <dataField name="Soma de MEDIANA Seguro %" fld="5" baseField="0" baseItem="0"/>
    <dataField name="Soma de MEDIA Seguro %" fld="17" baseField="0" baseItem="0"/>
    <dataField name="Soma de DESVIO Seguro %" fld="11" baseField="0" baseItem="0"/>
    <dataField name="Soma de MEDIANA % Ativacao Imediata" fld="6" baseField="0" baseItem="0"/>
    <dataField name="Soma de MEDIA % Ativacao Imediata" fld="18" baseField="0" baseItem="0"/>
    <dataField name="Soma de DESVIO % Ativacao Imediata" fld="12" baseField="0" baseItem="0"/>
    <dataField name="Soma de MEDIANA Paticip %" fld="7" baseField="0" baseItem="0"/>
    <dataField name="Soma de MEDIA Paticip %" fld="19" baseField="0" baseItem="0"/>
    <dataField name="Soma de DESVIO Paticip %" fld="1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6" cacheId="2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fieldListSortAscending="1">
  <location ref="A1:S7" firstHeaderRow="1" firstDataRow="2" firstDataCol="1"/>
  <pivotFields count="20">
    <pivotField axis="axisRow" showAll="0">
      <items count="7">
        <item m="1" x="4"/>
        <item m="1" x="5"/>
        <item x="2"/>
        <item m="1" x="3"/>
        <item x="0"/>
        <item x="1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0"/>
  </rowFields>
  <rowItems count="5">
    <i>
      <x/>
    </i>
    <i r="1">
      <x v="2"/>
    </i>
    <i r="1">
      <x v="4"/>
    </i>
    <i r="1">
      <x v="5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Soma de MEDIANA indicação/hc" fld="2" baseField="0" baseItem="0"/>
    <dataField name="Soma de MEDIA indicação/hc" fld="14" baseField="0" baseItem="0"/>
    <dataField name="Soma de DESVIO indicação/hc" fld="8" baseField="0" baseItem="0"/>
    <dataField name="Soma de MEDIANA ATIVIDADES/HC" fld="3" baseField="0" baseItem="0"/>
    <dataField name="Soma de MEDIA ATIVIDADES/HC" fld="15" baseField="0" baseItem="0"/>
    <dataField name="Soma de DESVIO ATIVIDADES/HC" fld="9" baseField="0" baseItem="0"/>
    <dataField name="Soma de MEDIANA CONTAS/HC" fld="4" baseField="0" baseItem="0"/>
    <dataField name="Soma de MEDIA CONTAS/HC" fld="16" baseField="0" baseItem="0"/>
    <dataField name="Soma de DESVIO CONTAS/HC" fld="10" baseField="0" baseItem="0"/>
    <dataField name="Soma de MEDIANA Seguro %" fld="5" baseField="0" baseItem="0"/>
    <dataField name="Soma de MEDIA Seguro %" fld="17" baseField="0" baseItem="0"/>
    <dataField name="Soma de DESVIO Seguro %" fld="11" baseField="0" baseItem="0"/>
    <dataField name="Soma de MEDIANA % Ativacao Imediata" fld="6" baseField="0" baseItem="0"/>
    <dataField name="Soma de MEDIA % Ativacao Imediata" fld="18" baseField="0" baseItem="0"/>
    <dataField name="Soma de DESVIO % Ativacao Imediata" fld="12" baseField="0" baseItem="0"/>
    <dataField name="Soma de MEDIANA Paticip %" fld="7" baseField="0" baseItem="0"/>
    <dataField name="Soma de MEDIA Paticip %" fld="19" baseField="0" baseItem="0"/>
    <dataField name="Soma de DESVIO Paticip %" fld="13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5" cacheId="3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1">
  <location ref="A3:C41" firstHeaderRow="1" firstDataRow="2" firstDataCol="1"/>
  <pivotFields count="5">
    <pivotField axis="axisRow" showAll="0">
      <items count="11">
        <item x="0"/>
        <item m="1" x="9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13">
        <item n="Últimos 3 Meses" m="1" x="11"/>
        <item n="Dezembro/09" m="1" x="3"/>
        <item n="Últimos 3 Meses2" m="1" x="9"/>
        <item m="1" x="6"/>
        <item x="0"/>
        <item m="1" x="5"/>
        <item m="1" x="7"/>
        <item m="1" x="10"/>
        <item m="1" x="8"/>
        <item m="1" x="4"/>
        <item x="1"/>
        <item x="2"/>
        <item t="default"/>
      </items>
    </pivotField>
    <pivotField dataField="1" showAll="0"/>
    <pivotField dataField="1" showAll="0"/>
    <pivotField showAll="0"/>
  </pivotFields>
  <rowFields count="2">
    <field x="0"/>
    <field x="1"/>
  </rowFields>
  <rowItems count="37">
    <i>
      <x/>
    </i>
    <i r="1">
      <x v="4"/>
    </i>
    <i r="1">
      <x v="10"/>
    </i>
    <i r="1">
      <x v="11"/>
    </i>
    <i>
      <x v="2"/>
    </i>
    <i r="1">
      <x v="4"/>
    </i>
    <i r="1">
      <x v="10"/>
    </i>
    <i r="1">
      <x v="11"/>
    </i>
    <i>
      <x v="3"/>
    </i>
    <i r="1">
      <x v="4"/>
    </i>
    <i r="1">
      <x v="10"/>
    </i>
    <i r="1">
      <x v="11"/>
    </i>
    <i>
      <x v="4"/>
    </i>
    <i r="1">
      <x v="4"/>
    </i>
    <i r="1">
      <x v="10"/>
    </i>
    <i r="1">
      <x v="11"/>
    </i>
    <i>
      <x v="5"/>
    </i>
    <i r="1">
      <x v="4"/>
    </i>
    <i r="1">
      <x v="10"/>
    </i>
    <i r="1">
      <x v="11"/>
    </i>
    <i>
      <x v="6"/>
    </i>
    <i r="1">
      <x v="4"/>
    </i>
    <i r="1">
      <x v="10"/>
    </i>
    <i r="1">
      <x v="11"/>
    </i>
    <i>
      <x v="7"/>
    </i>
    <i r="1">
      <x v="4"/>
    </i>
    <i r="1">
      <x v="10"/>
    </i>
    <i r="1">
      <x v="11"/>
    </i>
    <i>
      <x v="8"/>
    </i>
    <i r="1">
      <x v="4"/>
    </i>
    <i r="1">
      <x v="10"/>
    </i>
    <i r="1">
      <x v="11"/>
    </i>
    <i>
      <x v="9"/>
    </i>
    <i r="1">
      <x v="4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diana" fld="2" baseField="0" baseItem="0"/>
    <dataField name="Soma de Média" fld="3" baseField="0" baseItem="0"/>
  </dataFields>
  <chartFormats count="8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1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1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1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1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1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1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1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1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1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1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1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1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1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1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1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1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1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1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1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1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1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1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1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1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1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1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1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1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1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1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1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1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1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1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1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1"/>
          </reference>
        </references>
      </pivotArea>
    </chartFormat>
    <chartFormat chart="1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1"/>
          </reference>
        </references>
      </pivotArea>
    </chartFormat>
    <chartFormat chart="1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</references>
      </pivotArea>
    </chartFormat>
    <chartFormat chart="1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1"/>
          </reference>
        </references>
      </pivotArea>
    </chartFormat>
    <chartFormat chart="1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1"/>
          </reference>
        </references>
      </pivotArea>
    </chartFormat>
    <chartFormat chart="1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1"/>
          </reference>
        </references>
      </pivotArea>
    </chartFormat>
    <chartFormat chart="1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1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</references>
      </pivotArea>
    </chartFormat>
    <chartFormat chart="1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8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8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8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8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8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</references>
      </pivotArea>
    </chartFormat>
    <chartFormat chart="1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</references>
      </pivotArea>
    </chartFormat>
    <chartFormat chart="1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</references>
      </pivotArea>
    </chartFormat>
    <chartFormat chart="1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</references>
      </pivotArea>
    </chartFormat>
    <chartFormat chart="1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9"/>
          </reference>
        </references>
      </pivotArea>
    </chartFormat>
    <chartFormat chart="1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9"/>
          </reference>
        </references>
      </pivotArea>
    </chartFormat>
    <chartFormat chart="1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9"/>
          </reference>
        </references>
      </pivotArea>
    </chartFormat>
    <chartFormat chart="1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1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1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0"/>
          </reference>
        </references>
      </pivotArea>
    </chartFormat>
    <chartFormat chart="1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0"/>
          </reference>
        </references>
      </pivotArea>
    </chartFormat>
    <chartFormat chart="1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0"/>
          </reference>
        </references>
      </pivotArea>
    </chartFormat>
    <chartFormat chart="1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0"/>
          </reference>
        </references>
      </pivotArea>
    </chartFormat>
    <chartFormat chart="1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0"/>
          </reference>
        </references>
      </pivotArea>
    </chartFormat>
    <chartFormat chart="1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0"/>
          </reference>
        </references>
      </pivotArea>
    </chartFormat>
    <chartFormat chart="1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:S35"/>
  <sheetViews>
    <sheetView workbookViewId="0">
      <selection activeCell="B5" sqref="B5"/>
    </sheetView>
  </sheetViews>
  <sheetFormatPr defaultRowHeight="15"/>
  <cols>
    <col min="1" max="1" width="21.7109375" customWidth="1"/>
    <col min="2" max="2" width="30" bestFit="1" customWidth="1"/>
    <col min="3" max="3" width="27.140625" bestFit="1" customWidth="1"/>
    <col min="4" max="4" width="27.7109375" bestFit="1" customWidth="1"/>
    <col min="5" max="5" width="32.7109375" bestFit="1" customWidth="1"/>
    <col min="6" max="6" width="30" bestFit="1" customWidth="1"/>
    <col min="7" max="7" width="30.5703125" bestFit="1" customWidth="1"/>
    <col min="8" max="8" width="29.28515625" bestFit="1" customWidth="1"/>
    <col min="9" max="9" width="26.5703125" bestFit="1" customWidth="1"/>
    <col min="10" max="10" width="27.140625" bestFit="1" customWidth="1"/>
    <col min="11" max="11" width="26.85546875" bestFit="1" customWidth="1"/>
    <col min="12" max="12" width="24" bestFit="1" customWidth="1"/>
    <col min="13" max="13" width="24.5703125" bestFit="1" customWidth="1"/>
    <col min="14" max="14" width="36.85546875" bestFit="1" customWidth="1"/>
    <col min="15" max="15" width="34.140625" bestFit="1" customWidth="1"/>
    <col min="16" max="16" width="34.7109375" bestFit="1" customWidth="1"/>
    <col min="17" max="17" width="26.7109375" bestFit="1" customWidth="1"/>
    <col min="18" max="18" width="23.85546875" bestFit="1" customWidth="1"/>
    <col min="19" max="19" width="24.42578125" bestFit="1" customWidth="1"/>
  </cols>
  <sheetData>
    <row r="1" spans="1:19">
      <c r="B1" s="1" t="s">
        <v>9</v>
      </c>
    </row>
    <row r="2" spans="1:19">
      <c r="A2" s="1" t="s">
        <v>0</v>
      </c>
      <c r="B2" t="s">
        <v>11</v>
      </c>
      <c r="C2" t="s">
        <v>12</v>
      </c>
      <c r="D2" t="s">
        <v>13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</v>
      </c>
      <c r="O2" t="s">
        <v>14</v>
      </c>
      <c r="P2" t="s">
        <v>10</v>
      </c>
      <c r="Q2" t="s">
        <v>36</v>
      </c>
      <c r="R2" t="s">
        <v>37</v>
      </c>
      <c r="S2" t="s">
        <v>38</v>
      </c>
    </row>
    <row r="3" spans="1:19">
      <c r="A3" s="2" t="s">
        <v>4</v>
      </c>
      <c r="B3" s="3">
        <v>1.8929503105590062</v>
      </c>
      <c r="C3" s="3">
        <v>1.9125595512288136</v>
      </c>
      <c r="D3" s="3">
        <v>0.54233968133428723</v>
      </c>
      <c r="E3" s="3">
        <v>43.033952569169955</v>
      </c>
      <c r="F3" s="3">
        <v>43.541600932423911</v>
      </c>
      <c r="G3" s="3">
        <v>8.2882128694564798</v>
      </c>
      <c r="H3" s="3">
        <v>8.0869000507356681</v>
      </c>
      <c r="I3" s="3">
        <v>8.1637934687967864</v>
      </c>
      <c r="J3" s="3">
        <v>1.4398348861149644</v>
      </c>
      <c r="K3" s="3">
        <v>1.7466534961111697</v>
      </c>
      <c r="L3" s="3">
        <v>1.669321476838038</v>
      </c>
      <c r="M3" s="3">
        <v>0.40315403032469022</v>
      </c>
      <c r="N3" s="3">
        <v>2.2453387126185262</v>
      </c>
      <c r="O3" s="3">
        <v>2.2505973610356942</v>
      </c>
      <c r="P3" s="3">
        <v>0.18419213134648171</v>
      </c>
      <c r="Q3" s="3">
        <v>0.683060457043832</v>
      </c>
      <c r="R3" s="3">
        <v>0.69062835640027787</v>
      </c>
      <c r="S3" s="3">
        <v>0.12788261964767544</v>
      </c>
    </row>
    <row r="4" spans="1:19">
      <c r="A4" s="4" t="s">
        <v>1</v>
      </c>
      <c r="B4" s="3">
        <v>0.65</v>
      </c>
      <c r="C4" s="3">
        <v>0.65</v>
      </c>
      <c r="D4" s="3">
        <v>0</v>
      </c>
      <c r="E4" s="3">
        <v>15</v>
      </c>
      <c r="F4" s="3">
        <v>15</v>
      </c>
      <c r="G4" s="3">
        <v>0</v>
      </c>
      <c r="H4" s="3">
        <v>2.406900050735667</v>
      </c>
      <c r="I4" s="3">
        <v>2.406900050735667</v>
      </c>
      <c r="J4" s="3">
        <v>0</v>
      </c>
      <c r="K4" s="3">
        <v>0.6</v>
      </c>
      <c r="L4" s="3">
        <v>0.6</v>
      </c>
      <c r="M4" s="3">
        <v>0</v>
      </c>
      <c r="N4" s="3">
        <v>0.75</v>
      </c>
      <c r="O4" s="3">
        <v>0.75</v>
      </c>
      <c r="P4" s="3">
        <v>0</v>
      </c>
      <c r="Q4" s="3">
        <v>0.24112221953122209</v>
      </c>
      <c r="R4" s="3">
        <v>0.24112221953122209</v>
      </c>
      <c r="S4" s="3">
        <v>0</v>
      </c>
    </row>
    <row r="5" spans="1:19">
      <c r="A5" s="4" t="s">
        <v>52</v>
      </c>
      <c r="B5" s="3">
        <v>0.66142857142857137</v>
      </c>
      <c r="C5" s="3">
        <v>0.65655563121804084</v>
      </c>
      <c r="D5" s="3">
        <v>0.25457936251370289</v>
      </c>
      <c r="E5" s="3">
        <v>14.689090909090909</v>
      </c>
      <c r="F5" s="3">
        <v>15.427970693327836</v>
      </c>
      <c r="G5" s="3">
        <v>3.8048801540355202</v>
      </c>
      <c r="H5" s="3">
        <v>3.0133333333333332</v>
      </c>
      <c r="I5" s="3">
        <v>3.0583949013949003</v>
      </c>
      <c r="J5" s="3">
        <v>0.64374508603063674</v>
      </c>
      <c r="K5" s="3">
        <v>0.57860615883306321</v>
      </c>
      <c r="L5" s="3">
        <v>0.54553446040874465</v>
      </c>
      <c r="M5" s="3">
        <v>0.1772906880829917</v>
      </c>
      <c r="N5" s="3">
        <v>0.74479166666666663</v>
      </c>
      <c r="O5" s="3">
        <v>0.73618635252239228</v>
      </c>
      <c r="P5" s="3">
        <v>9.4391521786036742E-2</v>
      </c>
      <c r="Q5" s="3">
        <v>0.20891833344954092</v>
      </c>
      <c r="R5" s="3">
        <v>0.21632201163252773</v>
      </c>
      <c r="S5" s="3">
        <v>6.1903425700443354E-2</v>
      </c>
    </row>
    <row r="6" spans="1:19">
      <c r="A6" s="4" t="s">
        <v>53</v>
      </c>
      <c r="B6" s="3">
        <v>0.58152173913043481</v>
      </c>
      <c r="C6" s="3">
        <v>0.60600392001077286</v>
      </c>
      <c r="D6" s="3">
        <v>0.28776031882058434</v>
      </c>
      <c r="E6" s="3">
        <v>13.344861660079051</v>
      </c>
      <c r="F6" s="3">
        <v>13.113630239096075</v>
      </c>
      <c r="G6" s="3">
        <v>4.4833327154209606</v>
      </c>
      <c r="H6" s="3">
        <v>2.666666666666667</v>
      </c>
      <c r="I6" s="3">
        <v>2.6984985166662185</v>
      </c>
      <c r="J6" s="3">
        <v>0.79608980008432773</v>
      </c>
      <c r="K6" s="3">
        <v>0.56804733727810652</v>
      </c>
      <c r="L6" s="3">
        <v>0.52378701642929337</v>
      </c>
      <c r="M6" s="3">
        <v>0.22586334224169854</v>
      </c>
      <c r="N6" s="3">
        <v>0.75054704595185995</v>
      </c>
      <c r="O6" s="3">
        <v>0.76441100851330201</v>
      </c>
      <c r="P6" s="3">
        <v>8.9800609560444986E-2</v>
      </c>
      <c r="Q6" s="3">
        <v>0.23301990406306902</v>
      </c>
      <c r="R6" s="3">
        <v>0.23318412523652807</v>
      </c>
      <c r="S6" s="3">
        <v>6.597919394723209E-2</v>
      </c>
    </row>
    <row r="7" spans="1:19">
      <c r="A7" s="2" t="s">
        <v>5</v>
      </c>
      <c r="B7" s="3">
        <v>2.0095616446807556</v>
      </c>
      <c r="C7" s="3">
        <v>2.1470485343669501</v>
      </c>
      <c r="D7" s="3">
        <v>0.71855060836209794</v>
      </c>
      <c r="E7" s="3">
        <v>35.534824016563149</v>
      </c>
      <c r="F7" s="3">
        <v>35.060066112885337</v>
      </c>
      <c r="G7" s="3">
        <v>5.2753028327412705</v>
      </c>
      <c r="H7" s="3">
        <v>7.1151175864562584</v>
      </c>
      <c r="I7" s="3">
        <v>7.0635248280831808</v>
      </c>
      <c r="J7" s="3">
        <v>1.2167253715335744</v>
      </c>
      <c r="K7" s="3">
        <v>1.8549073213459959</v>
      </c>
      <c r="L7" s="3">
        <v>1.8335884599013912</v>
      </c>
      <c r="M7" s="3">
        <v>0.32536881168224585</v>
      </c>
      <c r="N7" s="3">
        <v>2.2259445170119783</v>
      </c>
      <c r="O7" s="3">
        <v>2.2112599848575103</v>
      </c>
      <c r="P7" s="3">
        <v>0.20491749926020641</v>
      </c>
      <c r="Q7" s="3">
        <v>0.64717199141571413</v>
      </c>
      <c r="R7" s="3">
        <v>0.66564654275789636</v>
      </c>
      <c r="S7" s="3">
        <v>0.13314124483741491</v>
      </c>
    </row>
    <row r="8" spans="1:19">
      <c r="A8" s="4" t="s">
        <v>1</v>
      </c>
      <c r="B8" s="3">
        <v>0.65</v>
      </c>
      <c r="C8" s="3">
        <v>0.65</v>
      </c>
      <c r="D8" s="3">
        <v>0</v>
      </c>
      <c r="E8" s="3">
        <v>15</v>
      </c>
      <c r="F8" s="3">
        <v>15</v>
      </c>
      <c r="G8" s="3">
        <v>0</v>
      </c>
      <c r="H8" s="3">
        <v>2.1363636363636362</v>
      </c>
      <c r="I8" s="3">
        <v>2.1363636363636362</v>
      </c>
      <c r="J8" s="3">
        <v>0</v>
      </c>
      <c r="K8" s="3">
        <v>0.6</v>
      </c>
      <c r="L8" s="3">
        <v>0.6</v>
      </c>
      <c r="M8" s="3">
        <v>0</v>
      </c>
      <c r="N8" s="3">
        <v>0.75</v>
      </c>
      <c r="O8" s="3">
        <v>0.75</v>
      </c>
      <c r="P8" s="3">
        <v>0</v>
      </c>
      <c r="Q8" s="3">
        <v>0.22605671656302287</v>
      </c>
      <c r="R8" s="3">
        <v>0.22605671656302287</v>
      </c>
      <c r="S8" s="3">
        <v>0</v>
      </c>
    </row>
    <row r="9" spans="1:19">
      <c r="A9" s="4" t="s">
        <v>52</v>
      </c>
      <c r="B9" s="3">
        <v>0.69973374613003103</v>
      </c>
      <c r="C9" s="3">
        <v>0.78016138725029294</v>
      </c>
      <c r="D9" s="3">
        <v>0.40919173110948293</v>
      </c>
      <c r="E9" s="3">
        <v>11.247142857142856</v>
      </c>
      <c r="F9" s="3">
        <v>10.653248762932975</v>
      </c>
      <c r="G9" s="3">
        <v>3.2341325700336512</v>
      </c>
      <c r="H9" s="3">
        <v>2.6436090225563911</v>
      </c>
      <c r="I9" s="3">
        <v>2.5692975387185917</v>
      </c>
      <c r="J9" s="3">
        <v>0.73837237284096202</v>
      </c>
      <c r="K9" s="3">
        <v>0.60263291139240505</v>
      </c>
      <c r="L9" s="3">
        <v>0.58517912444499942</v>
      </c>
      <c r="M9" s="3">
        <v>0.17883114315186963</v>
      </c>
      <c r="N9" s="3">
        <v>0.73607013133647914</v>
      </c>
      <c r="O9" s="3">
        <v>0.72194123352457118</v>
      </c>
      <c r="P9" s="3">
        <v>0.11402306801297704</v>
      </c>
      <c r="Q9" s="3">
        <v>0.20704089748554955</v>
      </c>
      <c r="R9" s="3">
        <v>0.21463517886672456</v>
      </c>
      <c r="S9" s="3">
        <v>6.6875453851120537E-2</v>
      </c>
    </row>
    <row r="10" spans="1:19">
      <c r="A10" s="4" t="s">
        <v>53</v>
      </c>
      <c r="B10" s="3">
        <v>0.65982789855072466</v>
      </c>
      <c r="C10" s="3">
        <v>0.71688714711665713</v>
      </c>
      <c r="D10" s="3">
        <v>0.30935887725261502</v>
      </c>
      <c r="E10" s="3">
        <v>9.2876811594202913</v>
      </c>
      <c r="F10" s="3">
        <v>9.4068173499523606</v>
      </c>
      <c r="G10" s="3">
        <v>2.0411702627076194</v>
      </c>
      <c r="H10" s="3">
        <v>2.3351449275362315</v>
      </c>
      <c r="I10" s="3">
        <v>2.3578636530009529</v>
      </c>
      <c r="J10" s="3">
        <v>0.47835299869261233</v>
      </c>
      <c r="K10" s="3">
        <v>0.65227440995359087</v>
      </c>
      <c r="L10" s="3">
        <v>0.64840933545639179</v>
      </c>
      <c r="M10" s="3">
        <v>0.14653766853037625</v>
      </c>
      <c r="N10" s="3">
        <v>0.73987438567549924</v>
      </c>
      <c r="O10" s="3">
        <v>0.73931875133293912</v>
      </c>
      <c r="P10" s="3">
        <v>9.089443124722936E-2</v>
      </c>
      <c r="Q10" s="3">
        <v>0.21407437736714172</v>
      </c>
      <c r="R10" s="3">
        <v>0.22495464732814899</v>
      </c>
      <c r="S10" s="3">
        <v>6.6265790986294357E-2</v>
      </c>
    </row>
    <row r="11" spans="1:19">
      <c r="A11" s="2" t="s">
        <v>6</v>
      </c>
      <c r="B11" s="3">
        <v>1.0530854950675923</v>
      </c>
      <c r="C11" s="3">
        <v>1.1064469321487462</v>
      </c>
      <c r="D11" s="3">
        <v>0.31318129387441207</v>
      </c>
      <c r="E11" s="3">
        <v>33.159434782608699</v>
      </c>
      <c r="F11" s="3">
        <v>32.585033967391311</v>
      </c>
      <c r="G11" s="3">
        <v>6.2907654355191038</v>
      </c>
      <c r="H11" s="3">
        <v>5.5861178996558358</v>
      </c>
      <c r="I11" s="3">
        <v>5.655104312699315</v>
      </c>
      <c r="J11" s="3">
        <v>1.1418960709375008</v>
      </c>
      <c r="K11" s="3">
        <v>1.6499698584606937</v>
      </c>
      <c r="L11" s="3">
        <v>1.5983438344676846</v>
      </c>
      <c r="M11" s="3">
        <v>0.43392686813079667</v>
      </c>
      <c r="N11" s="3">
        <v>2.0813049196486046</v>
      </c>
      <c r="O11" s="3">
        <v>2.0902886132539829</v>
      </c>
      <c r="P11" s="3">
        <v>0.2372925521387946</v>
      </c>
      <c r="Q11" s="3">
        <v>0.33829726580818631</v>
      </c>
      <c r="R11" s="3">
        <v>0.33300982831340098</v>
      </c>
      <c r="S11" s="3">
        <v>6.2808204085345154E-2</v>
      </c>
    </row>
    <row r="12" spans="1:19">
      <c r="A12" s="4" t="s">
        <v>1</v>
      </c>
      <c r="B12" s="3">
        <v>0.65</v>
      </c>
      <c r="C12" s="3">
        <v>0.65</v>
      </c>
      <c r="D12" s="3">
        <v>0</v>
      </c>
      <c r="E12" s="3">
        <v>15</v>
      </c>
      <c r="F12" s="3">
        <v>15</v>
      </c>
      <c r="G12" s="3">
        <v>0</v>
      </c>
      <c r="H12" s="3">
        <v>1.714233841684822</v>
      </c>
      <c r="I12" s="3">
        <v>1.714233841684822</v>
      </c>
      <c r="J12" s="3">
        <v>0</v>
      </c>
      <c r="K12" s="3">
        <v>0.6</v>
      </c>
      <c r="L12" s="3">
        <v>0.6</v>
      </c>
      <c r="M12" s="3">
        <v>0</v>
      </c>
      <c r="N12" s="3">
        <v>0.75</v>
      </c>
      <c r="O12" s="3">
        <v>0.75</v>
      </c>
      <c r="P12" s="3">
        <v>0</v>
      </c>
      <c r="Q12" s="3">
        <v>0.1158411276399097</v>
      </c>
      <c r="R12" s="3">
        <v>0.1158411276399097</v>
      </c>
      <c r="S12" s="3">
        <v>0</v>
      </c>
    </row>
    <row r="13" spans="1:19">
      <c r="A13" s="4" t="s">
        <v>52</v>
      </c>
      <c r="B13" s="3">
        <v>0.22337535014005602</v>
      </c>
      <c r="C13" s="3">
        <v>0.25679270040970614</v>
      </c>
      <c r="D13" s="3">
        <v>0.17388993263790264</v>
      </c>
      <c r="E13" s="3">
        <v>9.9039999999999999</v>
      </c>
      <c r="F13" s="3">
        <v>9.3113020833333344</v>
      </c>
      <c r="G13" s="3">
        <v>3.6201440666785687</v>
      </c>
      <c r="H13" s="3">
        <v>2.0566666666666666</v>
      </c>
      <c r="I13" s="3">
        <v>2.1031666666666666</v>
      </c>
      <c r="J13" s="3">
        <v>0.65997658261921266</v>
      </c>
      <c r="K13" s="3">
        <v>0.50316455696202533</v>
      </c>
      <c r="L13" s="3">
        <v>0.50482781675614841</v>
      </c>
      <c r="M13" s="3">
        <v>0.20274757987906766</v>
      </c>
      <c r="N13" s="3">
        <v>0.68391366604966297</v>
      </c>
      <c r="O13" s="3">
        <v>0.67538349443186418</v>
      </c>
      <c r="P13" s="3">
        <v>0.12470365812780188</v>
      </c>
      <c r="Q13" s="3">
        <v>0.1082665072215496</v>
      </c>
      <c r="R13" s="3">
        <v>0.10515934060525796</v>
      </c>
      <c r="S13" s="3">
        <v>2.918740090061793E-2</v>
      </c>
    </row>
    <row r="14" spans="1:19">
      <c r="A14" s="4" t="s">
        <v>53</v>
      </c>
      <c r="B14" s="3">
        <v>0.17971014492753623</v>
      </c>
      <c r="C14" s="3">
        <v>0.19965423173903996</v>
      </c>
      <c r="D14" s="3">
        <v>0.13929136123650943</v>
      </c>
      <c r="E14" s="3">
        <v>8.2554347826086953</v>
      </c>
      <c r="F14" s="3">
        <v>8.2737318840579732</v>
      </c>
      <c r="G14" s="3">
        <v>2.6706213688405351</v>
      </c>
      <c r="H14" s="3">
        <v>1.8152173913043477</v>
      </c>
      <c r="I14" s="3">
        <v>1.8377038043478264</v>
      </c>
      <c r="J14" s="3">
        <v>0.48191948831828807</v>
      </c>
      <c r="K14" s="3">
        <v>0.54680530149866824</v>
      </c>
      <c r="L14" s="3">
        <v>0.49351601771153619</v>
      </c>
      <c r="M14" s="3">
        <v>0.23117928825172901</v>
      </c>
      <c r="N14" s="3">
        <v>0.64739125359894167</v>
      </c>
      <c r="O14" s="3">
        <v>0.66490511882211867</v>
      </c>
      <c r="P14" s="3">
        <v>0.11258889401099273</v>
      </c>
      <c r="Q14" s="3">
        <v>0.11418963094672704</v>
      </c>
      <c r="R14" s="3">
        <v>0.11200936006823332</v>
      </c>
      <c r="S14" s="3">
        <v>3.3620803184727217E-2</v>
      </c>
    </row>
    <row r="15" spans="1:19">
      <c r="A15" s="2" t="s">
        <v>7</v>
      </c>
      <c r="B15" s="3">
        <v>1.5610315362076825</v>
      </c>
      <c r="C15" s="3">
        <v>1.6596943580116879</v>
      </c>
      <c r="D15" s="3">
        <v>0.34891487796092979</v>
      </c>
      <c r="E15" s="3">
        <v>34.465507246376809</v>
      </c>
      <c r="F15" s="3">
        <v>35.582746635610768</v>
      </c>
      <c r="G15" s="3">
        <v>4.6560348520905119</v>
      </c>
      <c r="H15" s="3">
        <v>7.9091200101703532</v>
      </c>
      <c r="I15" s="3">
        <v>7.9444445443318443</v>
      </c>
      <c r="J15" s="3">
        <v>1.3625097298960189</v>
      </c>
      <c r="K15" s="3">
        <v>1.7897910276857645</v>
      </c>
      <c r="L15" s="3">
        <v>1.6635139057465884</v>
      </c>
      <c r="M15" s="3">
        <v>0.44070149330353009</v>
      </c>
      <c r="N15" s="3">
        <v>2.1465313408942102</v>
      </c>
      <c r="O15" s="3">
        <v>2.1270314954100673</v>
      </c>
      <c r="P15" s="3">
        <v>0.21168172366859758</v>
      </c>
      <c r="Q15" s="3">
        <v>0.41584816687999127</v>
      </c>
      <c r="R15" s="3">
        <v>0.42495820099038839</v>
      </c>
      <c r="S15" s="3">
        <v>6.0523666798831616E-2</v>
      </c>
    </row>
    <row r="16" spans="1:19">
      <c r="A16" s="4" t="s">
        <v>1</v>
      </c>
      <c r="B16" s="3">
        <v>0.65</v>
      </c>
      <c r="C16" s="3">
        <v>0.65</v>
      </c>
      <c r="D16" s="3">
        <v>0</v>
      </c>
      <c r="E16" s="3">
        <v>15</v>
      </c>
      <c r="F16" s="3">
        <v>15</v>
      </c>
      <c r="G16" s="3">
        <v>0</v>
      </c>
      <c r="H16" s="3">
        <v>2.5204678362573101</v>
      </c>
      <c r="I16" s="3">
        <v>2.5204678362573101</v>
      </c>
      <c r="J16" s="3">
        <v>0</v>
      </c>
      <c r="K16" s="3">
        <v>0.6</v>
      </c>
      <c r="L16" s="3">
        <v>0.6</v>
      </c>
      <c r="M16" s="3">
        <v>0</v>
      </c>
      <c r="N16" s="3">
        <v>0.75</v>
      </c>
      <c r="O16" s="3">
        <v>0.75</v>
      </c>
      <c r="P16" s="3">
        <v>0</v>
      </c>
      <c r="Q16" s="3">
        <v>0.15154715771568214</v>
      </c>
      <c r="R16" s="3">
        <v>0.15154715771568214</v>
      </c>
      <c r="S16" s="3">
        <v>0</v>
      </c>
    </row>
    <row r="17" spans="1:19">
      <c r="A17" s="4" t="s">
        <v>52</v>
      </c>
      <c r="B17" s="3">
        <v>0.40021066491112578</v>
      </c>
      <c r="C17" s="3">
        <v>0.4701350819351206</v>
      </c>
      <c r="D17" s="3">
        <v>0.16378405910378699</v>
      </c>
      <c r="E17" s="3">
        <v>9.8133333333333326</v>
      </c>
      <c r="F17" s="3">
        <v>10.695511904761908</v>
      </c>
      <c r="G17" s="3">
        <v>2.391986827306368</v>
      </c>
      <c r="H17" s="3">
        <v>2.6930000000000001</v>
      </c>
      <c r="I17" s="3">
        <v>2.6741190476190475</v>
      </c>
      <c r="J17" s="3">
        <v>0.66391427106344181</v>
      </c>
      <c r="K17" s="3">
        <v>0.59655870445344128</v>
      </c>
      <c r="L17" s="3">
        <v>0.53151927442584634</v>
      </c>
      <c r="M17" s="3">
        <v>0.20579781955678655</v>
      </c>
      <c r="N17" s="3">
        <v>0.68986676016830295</v>
      </c>
      <c r="O17" s="3">
        <v>0.68147339505483984</v>
      </c>
      <c r="P17" s="3">
        <v>0.10677158919373821</v>
      </c>
      <c r="Q17" s="3">
        <v>0.12356246495718083</v>
      </c>
      <c r="R17" s="3">
        <v>0.12677798350383604</v>
      </c>
      <c r="S17" s="3">
        <v>2.6705518401988294E-2</v>
      </c>
    </row>
    <row r="18" spans="1:19">
      <c r="A18" s="4" t="s">
        <v>53</v>
      </c>
      <c r="B18" s="3">
        <v>0.51082087129655673</v>
      </c>
      <c r="C18" s="3">
        <v>0.5395592760765674</v>
      </c>
      <c r="D18" s="3">
        <v>0.18513081885714283</v>
      </c>
      <c r="E18" s="3">
        <v>9.6521739130434785</v>
      </c>
      <c r="F18" s="3">
        <v>9.8872347308488617</v>
      </c>
      <c r="G18" s="3">
        <v>2.2640480247841439</v>
      </c>
      <c r="H18" s="3">
        <v>2.6956521739130435</v>
      </c>
      <c r="I18" s="3">
        <v>2.7498576604554863</v>
      </c>
      <c r="J18" s="3">
        <v>0.69859545883257701</v>
      </c>
      <c r="K18" s="3">
        <v>0.59323232323232322</v>
      </c>
      <c r="L18" s="3">
        <v>0.5319946313207421</v>
      </c>
      <c r="M18" s="3">
        <v>0.23490367374674354</v>
      </c>
      <c r="N18" s="3">
        <v>0.70666458072590743</v>
      </c>
      <c r="O18" s="3">
        <v>0.69555810035522747</v>
      </c>
      <c r="P18" s="3">
        <v>0.10491013447485938</v>
      </c>
      <c r="Q18" s="3">
        <v>0.14073854420712828</v>
      </c>
      <c r="R18" s="3">
        <v>0.14663305977087024</v>
      </c>
      <c r="S18" s="3">
        <v>3.3818148396843321E-2</v>
      </c>
    </row>
    <row r="19" spans="1:19">
      <c r="A19" s="2" t="s">
        <v>8</v>
      </c>
      <c r="B19" s="3">
        <v>1.3244626743232157</v>
      </c>
      <c r="C19" s="3">
        <v>1.3696467989133474</v>
      </c>
      <c r="D19" s="3">
        <v>0.37231523072470907</v>
      </c>
      <c r="E19" s="3">
        <v>32.494637681159418</v>
      </c>
      <c r="F19" s="3">
        <v>33.160141146817899</v>
      </c>
      <c r="G19" s="3">
        <v>5.6733255652167802</v>
      </c>
      <c r="H19" s="3">
        <v>7.8859259259259256</v>
      </c>
      <c r="I19" s="3">
        <v>7.6603569278162844</v>
      </c>
      <c r="J19" s="3">
        <v>1.6800520357130067</v>
      </c>
      <c r="K19" s="3">
        <v>1.4103342577725879</v>
      </c>
      <c r="L19" s="3">
        <v>1.4050753929610251</v>
      </c>
      <c r="M19" s="3">
        <v>0.52924215419969212</v>
      </c>
      <c r="N19" s="3">
        <v>2.1276815286624204</v>
      </c>
      <c r="O19" s="3">
        <v>2.0869215620461494</v>
      </c>
      <c r="P19" s="3">
        <v>0.33138083267838914</v>
      </c>
      <c r="Q19" s="3">
        <v>0.45243558690500185</v>
      </c>
      <c r="R19" s="3">
        <v>0.46108786965210208</v>
      </c>
      <c r="S19" s="3">
        <v>0.12901361705339945</v>
      </c>
    </row>
    <row r="20" spans="1:19">
      <c r="A20" s="4" t="s">
        <v>1</v>
      </c>
      <c r="B20" s="3">
        <v>0.65</v>
      </c>
      <c r="C20" s="3">
        <v>0.65</v>
      </c>
      <c r="D20" s="3">
        <v>0</v>
      </c>
      <c r="E20" s="3">
        <v>15</v>
      </c>
      <c r="F20" s="3">
        <v>15</v>
      </c>
      <c r="G20" s="3">
        <v>0</v>
      </c>
      <c r="H20" s="3">
        <v>2.2992592592592591</v>
      </c>
      <c r="I20" s="3">
        <v>2.2992592592592591</v>
      </c>
      <c r="J20" s="3">
        <v>0</v>
      </c>
      <c r="K20" s="3">
        <v>0.6</v>
      </c>
      <c r="L20" s="3">
        <v>0.6</v>
      </c>
      <c r="M20" s="3">
        <v>0</v>
      </c>
      <c r="N20" s="3">
        <v>0.75</v>
      </c>
      <c r="O20" s="3">
        <v>0.75</v>
      </c>
      <c r="P20" s="3">
        <v>0</v>
      </c>
      <c r="Q20" s="3">
        <v>0.16714687788751934</v>
      </c>
      <c r="R20" s="3">
        <v>0.16714687788751934</v>
      </c>
      <c r="S20" s="3">
        <v>0</v>
      </c>
    </row>
    <row r="21" spans="1:19">
      <c r="A21" s="4" t="s">
        <v>52</v>
      </c>
      <c r="B21" s="3">
        <v>0.35924528301886793</v>
      </c>
      <c r="C21" s="3">
        <v>0.36771624375512463</v>
      </c>
      <c r="D21" s="3">
        <v>0.19485674777002709</v>
      </c>
      <c r="E21" s="3">
        <v>9.3533333333333335</v>
      </c>
      <c r="F21" s="3">
        <v>9.3442463768115953</v>
      </c>
      <c r="G21" s="3">
        <v>3.0457414270715235</v>
      </c>
      <c r="H21" s="3">
        <v>2.92</v>
      </c>
      <c r="I21" s="3">
        <v>2.6890434782608694</v>
      </c>
      <c r="J21" s="3">
        <v>0.9211385319230827</v>
      </c>
      <c r="K21" s="3">
        <v>0.33936651583710409</v>
      </c>
      <c r="L21" s="3">
        <v>0.35875812230661119</v>
      </c>
      <c r="M21" s="3">
        <v>0.2767166198158143</v>
      </c>
      <c r="N21" s="3">
        <v>0.64968152866242035</v>
      </c>
      <c r="O21" s="3">
        <v>0.63750530688785945</v>
      </c>
      <c r="P21" s="3">
        <v>0.16795446781511764</v>
      </c>
      <c r="Q21" s="3">
        <v>0.13309878698011596</v>
      </c>
      <c r="R21" s="3">
        <v>0.13467631031762486</v>
      </c>
      <c r="S21" s="3">
        <v>5.4116366361956512E-2</v>
      </c>
    </row>
    <row r="22" spans="1:19">
      <c r="A22" s="4" t="s">
        <v>53</v>
      </c>
      <c r="B22" s="3">
        <v>0.31521739130434784</v>
      </c>
      <c r="C22" s="3">
        <v>0.35193055515822286</v>
      </c>
      <c r="D22" s="3">
        <v>0.17745848295468195</v>
      </c>
      <c r="E22" s="3">
        <v>8.1413043478260878</v>
      </c>
      <c r="F22" s="3">
        <v>8.8158947700063006</v>
      </c>
      <c r="G22" s="3">
        <v>2.6275841381452572</v>
      </c>
      <c r="H22" s="3">
        <v>2.666666666666667</v>
      </c>
      <c r="I22" s="3">
        <v>2.6720541902961559</v>
      </c>
      <c r="J22" s="3">
        <v>0.75891350378992406</v>
      </c>
      <c r="K22" s="3">
        <v>0.47096774193548385</v>
      </c>
      <c r="L22" s="3">
        <v>0.4463172706544139</v>
      </c>
      <c r="M22" s="3">
        <v>0.25252553438387776</v>
      </c>
      <c r="N22" s="3">
        <v>0.72799999999999998</v>
      </c>
      <c r="O22" s="3">
        <v>0.69941625515828965</v>
      </c>
      <c r="P22" s="3">
        <v>0.16342636486327147</v>
      </c>
      <c r="Q22" s="3">
        <v>0.15218992203736659</v>
      </c>
      <c r="R22" s="3">
        <v>0.15926468144695788</v>
      </c>
      <c r="S22" s="3">
        <v>7.4897250691442943E-2</v>
      </c>
    </row>
    <row r="23" spans="1:19">
      <c r="A23" s="2" t="s">
        <v>25</v>
      </c>
      <c r="B23" s="3">
        <v>1.6457651321398123</v>
      </c>
      <c r="C23" s="3">
        <v>1.6691412522391504</v>
      </c>
      <c r="D23" s="3">
        <v>0.46266940263338108</v>
      </c>
      <c r="E23" s="3">
        <v>33.364088164251207</v>
      </c>
      <c r="F23" s="3">
        <v>32.724459113390644</v>
      </c>
      <c r="G23" s="3">
        <v>5.0985093130590755</v>
      </c>
      <c r="H23" s="3">
        <v>7.0608112460286367</v>
      </c>
      <c r="I23" s="3">
        <v>7.100729982043025</v>
      </c>
      <c r="J23" s="3">
        <v>1.3030331142518001</v>
      </c>
      <c r="K23" s="3">
        <v>1.4581973196203357</v>
      </c>
      <c r="L23" s="3">
        <v>1.3597831971352479</v>
      </c>
      <c r="M23" s="3">
        <v>0.43680745343740585</v>
      </c>
      <c r="N23" s="3">
        <v>2.2366259957676538</v>
      </c>
      <c r="O23" s="3">
        <v>2.2310019412356672</v>
      </c>
      <c r="P23" s="3">
        <v>0.20410630731028256</v>
      </c>
      <c r="Q23" s="3">
        <v>0.51306736157654653</v>
      </c>
      <c r="R23" s="3">
        <v>0.50999373875572884</v>
      </c>
      <c r="S23" s="3">
        <v>9.6794029457669503E-2</v>
      </c>
    </row>
    <row r="24" spans="1:19">
      <c r="A24" s="4" t="s">
        <v>1</v>
      </c>
      <c r="B24" s="3">
        <v>0.65</v>
      </c>
      <c r="C24" s="3">
        <v>0.65</v>
      </c>
      <c r="D24" s="3">
        <v>0</v>
      </c>
      <c r="E24" s="3">
        <v>15</v>
      </c>
      <c r="F24" s="3">
        <v>15</v>
      </c>
      <c r="G24" s="3">
        <v>0</v>
      </c>
      <c r="H24" s="3">
        <v>2.1011011011011012</v>
      </c>
      <c r="I24" s="3">
        <v>2.1011011011011012</v>
      </c>
      <c r="J24" s="3">
        <v>0</v>
      </c>
      <c r="K24" s="3">
        <v>0.6</v>
      </c>
      <c r="L24" s="3">
        <v>0.6</v>
      </c>
      <c r="M24" s="3">
        <v>0</v>
      </c>
      <c r="N24" s="3">
        <v>0.75</v>
      </c>
      <c r="O24" s="3">
        <v>0.75</v>
      </c>
      <c r="P24" s="3">
        <v>0</v>
      </c>
      <c r="Q24" s="3">
        <v>0.18046394614492786</v>
      </c>
      <c r="R24" s="3">
        <v>0.18046394614492786</v>
      </c>
      <c r="S24" s="3">
        <v>0</v>
      </c>
    </row>
    <row r="25" spans="1:19">
      <c r="A25" s="4" t="s">
        <v>52</v>
      </c>
      <c r="B25" s="3">
        <v>0.55144501278772373</v>
      </c>
      <c r="C25" s="3">
        <v>0.53702164216399439</v>
      </c>
      <c r="D25" s="3">
        <v>0.23900031421954526</v>
      </c>
      <c r="E25" s="3">
        <v>10.543888888888887</v>
      </c>
      <c r="F25" s="3">
        <v>9.6898852693602731</v>
      </c>
      <c r="G25" s="3">
        <v>2.9881120541576855</v>
      </c>
      <c r="H25" s="3">
        <v>2.7133333333333329</v>
      </c>
      <c r="I25" s="3">
        <v>2.6578819865319856</v>
      </c>
      <c r="J25" s="3">
        <v>0.77772023939858825</v>
      </c>
      <c r="K25" s="3">
        <v>0.41859248001549593</v>
      </c>
      <c r="L25" s="3">
        <v>0.37210538877479987</v>
      </c>
      <c r="M25" s="3">
        <v>0.22145078098671081</v>
      </c>
      <c r="N25" s="3">
        <v>0.75211966085426329</v>
      </c>
      <c r="O25" s="3">
        <v>0.74195526890238606</v>
      </c>
      <c r="P25" s="3">
        <v>0.11412650477916572</v>
      </c>
      <c r="Q25" s="3">
        <v>0.16249539538767377</v>
      </c>
      <c r="R25" s="3">
        <v>0.15927566385754932</v>
      </c>
      <c r="S25" s="3">
        <v>4.6669030802574958E-2</v>
      </c>
    </row>
    <row r="26" spans="1:19">
      <c r="A26" s="4" t="s">
        <v>53</v>
      </c>
      <c r="B26" s="3">
        <v>0.44432011935208859</v>
      </c>
      <c r="C26" s="3">
        <v>0.48211961007515597</v>
      </c>
      <c r="D26" s="3">
        <v>0.22366908841383579</v>
      </c>
      <c r="E26" s="3">
        <v>7.8201992753623184</v>
      </c>
      <c r="F26" s="3">
        <v>8.0345738440303673</v>
      </c>
      <c r="G26" s="3">
        <v>2.1103972589013895</v>
      </c>
      <c r="H26" s="3">
        <v>2.2463768115942031</v>
      </c>
      <c r="I26" s="3">
        <v>2.3417468944099378</v>
      </c>
      <c r="J26" s="3">
        <v>0.52531287485321176</v>
      </c>
      <c r="K26" s="3">
        <v>0.43960483960483965</v>
      </c>
      <c r="L26" s="3">
        <v>0.38767780836044807</v>
      </c>
      <c r="M26" s="3">
        <v>0.21535667245069504</v>
      </c>
      <c r="N26" s="3">
        <v>0.73450633491339057</v>
      </c>
      <c r="O26" s="3">
        <v>0.73904667233328103</v>
      </c>
      <c r="P26" s="3">
        <v>8.9979802531116843E-2</v>
      </c>
      <c r="Q26" s="3">
        <v>0.17010802004394487</v>
      </c>
      <c r="R26" s="3">
        <v>0.17025412875325166</v>
      </c>
      <c r="S26" s="3">
        <v>5.0124998655094545E-2</v>
      </c>
    </row>
    <row r="27" spans="1:19">
      <c r="A27" s="2" t="s">
        <v>26</v>
      </c>
      <c r="B27" s="3">
        <v>1.564990179722169</v>
      </c>
      <c r="C27" s="3">
        <v>1.6670551859370653</v>
      </c>
      <c r="D27" s="3">
        <v>0.55048561971182242</v>
      </c>
      <c r="E27" s="3">
        <v>33.835942028985507</v>
      </c>
      <c r="F27" s="3">
        <v>34.404632763975151</v>
      </c>
      <c r="G27" s="3">
        <v>5.2006694511328986</v>
      </c>
      <c r="H27" s="3">
        <v>7.8639533011272134</v>
      </c>
      <c r="I27" s="3">
        <v>7.7900370657925002</v>
      </c>
      <c r="J27" s="3">
        <v>1.1397731257016597</v>
      </c>
      <c r="K27" s="3">
        <v>1.5315641022751361</v>
      </c>
      <c r="L27" s="3">
        <v>1.4802099117643399</v>
      </c>
      <c r="M27" s="3">
        <v>0.48311876233644324</v>
      </c>
      <c r="N27" s="3">
        <v>2.0765851958929549</v>
      </c>
      <c r="O27" s="3">
        <v>2.090011095154976</v>
      </c>
      <c r="P27" s="3">
        <v>0.29028157284124911</v>
      </c>
      <c r="Q27" s="3">
        <v>0.4336937945570663</v>
      </c>
      <c r="R27" s="3">
        <v>0.43282069300601567</v>
      </c>
      <c r="S27" s="3">
        <v>8.2227562509961244E-2</v>
      </c>
    </row>
    <row r="28" spans="1:19">
      <c r="A28" s="4" t="s">
        <v>1</v>
      </c>
      <c r="B28" s="3">
        <v>0.65</v>
      </c>
      <c r="C28" s="3">
        <v>0.65</v>
      </c>
      <c r="D28" s="3">
        <v>0</v>
      </c>
      <c r="E28" s="3">
        <v>15</v>
      </c>
      <c r="F28" s="3">
        <v>15</v>
      </c>
      <c r="G28" s="3">
        <v>0</v>
      </c>
      <c r="H28" s="3">
        <v>2.3935185185185186</v>
      </c>
      <c r="I28" s="3">
        <v>2.3935185185185186</v>
      </c>
      <c r="J28" s="3">
        <v>0</v>
      </c>
      <c r="K28" s="3">
        <v>0.6</v>
      </c>
      <c r="L28" s="3">
        <v>0.6</v>
      </c>
      <c r="M28" s="3">
        <v>0</v>
      </c>
      <c r="N28" s="3">
        <v>0.75</v>
      </c>
      <c r="O28" s="3">
        <v>0.75</v>
      </c>
      <c r="P28" s="3">
        <v>0</v>
      </c>
      <c r="Q28" s="3">
        <v>0.15038286491402345</v>
      </c>
      <c r="R28" s="3">
        <v>0.15038286491402345</v>
      </c>
      <c r="S28" s="3">
        <v>0</v>
      </c>
    </row>
    <row r="29" spans="1:19">
      <c r="A29" s="4" t="s">
        <v>52</v>
      </c>
      <c r="B29" s="3">
        <v>0.46740476190476188</v>
      </c>
      <c r="C29" s="3">
        <v>0.50964190044576851</v>
      </c>
      <c r="D29" s="3">
        <v>0.27929422797931136</v>
      </c>
      <c r="E29" s="3">
        <v>10.219999999999999</v>
      </c>
      <c r="F29" s="3">
        <v>10.778543650793649</v>
      </c>
      <c r="G29" s="3">
        <v>2.773090719433287</v>
      </c>
      <c r="H29" s="3">
        <v>2.8899999999999997</v>
      </c>
      <c r="I29" s="3">
        <v>2.8187321428571424</v>
      </c>
      <c r="J29" s="3">
        <v>0.59298886241808013</v>
      </c>
      <c r="K29" s="3">
        <v>0.42020560317929517</v>
      </c>
      <c r="L29" s="3">
        <v>0.40666334551499389</v>
      </c>
      <c r="M29" s="3">
        <v>0.23563552340015342</v>
      </c>
      <c r="N29" s="3">
        <v>0.67300644381796215</v>
      </c>
      <c r="O29" s="3">
        <v>0.65281194875107729</v>
      </c>
      <c r="P29" s="3">
        <v>0.14102014111570324</v>
      </c>
      <c r="Q29" s="3">
        <v>0.14046086379222067</v>
      </c>
      <c r="R29" s="3">
        <v>0.13713368171530985</v>
      </c>
      <c r="S29" s="3">
        <v>4.063576962035944E-2</v>
      </c>
    </row>
    <row r="30" spans="1:19">
      <c r="A30" s="4" t="s">
        <v>53</v>
      </c>
      <c r="B30" s="3">
        <v>0.44758541781740707</v>
      </c>
      <c r="C30" s="3">
        <v>0.50741328549129661</v>
      </c>
      <c r="D30" s="3">
        <v>0.27119139173251111</v>
      </c>
      <c r="E30" s="3">
        <v>8.6159420289855078</v>
      </c>
      <c r="F30" s="3">
        <v>8.6260891131815018</v>
      </c>
      <c r="G30" s="3">
        <v>2.4275787316996116</v>
      </c>
      <c r="H30" s="3">
        <v>2.5804347826086955</v>
      </c>
      <c r="I30" s="3">
        <v>2.5777864044168393</v>
      </c>
      <c r="J30" s="3">
        <v>0.54678426328357954</v>
      </c>
      <c r="K30" s="3">
        <v>0.51135849909584086</v>
      </c>
      <c r="L30" s="3">
        <v>0.47354656624934605</v>
      </c>
      <c r="M30" s="3">
        <v>0.24748323893628979</v>
      </c>
      <c r="N30" s="3">
        <v>0.65357875207499272</v>
      </c>
      <c r="O30" s="3">
        <v>0.68719914640389879</v>
      </c>
      <c r="P30" s="3">
        <v>0.1492614317255459</v>
      </c>
      <c r="Q30" s="3">
        <v>0.14285006585082222</v>
      </c>
      <c r="R30" s="3">
        <v>0.1453041463766824</v>
      </c>
      <c r="S30" s="3">
        <v>4.1591792889601797E-2</v>
      </c>
    </row>
    <row r="31" spans="1:19">
      <c r="A31" s="2" t="s">
        <v>51</v>
      </c>
      <c r="B31" s="3">
        <v>1.7735573122529644</v>
      </c>
      <c r="C31" s="3">
        <v>1.7905864787389465</v>
      </c>
      <c r="D31" s="3">
        <v>0.48193073401144837</v>
      </c>
      <c r="E31" s="3">
        <v>36.552753623188408</v>
      </c>
      <c r="F31" s="3">
        <v>35.252417469836509</v>
      </c>
      <c r="G31" s="3">
        <v>5.9446634451541627</v>
      </c>
      <c r="H31" s="3">
        <v>7.3156087331011497</v>
      </c>
      <c r="I31" s="3">
        <v>7.2730938476867149</v>
      </c>
      <c r="J31" s="3">
        <v>1.6935944813529735</v>
      </c>
      <c r="K31" s="3">
        <v>1.6558196276884152</v>
      </c>
      <c r="L31" s="3">
        <v>1.6455679046868936</v>
      </c>
      <c r="M31" s="3">
        <v>0.38023106169496124</v>
      </c>
      <c r="N31" s="3">
        <v>2.1650697674418602</v>
      </c>
      <c r="O31" s="3">
        <v>2.1781114617537702</v>
      </c>
      <c r="P31" s="3">
        <v>0.28510435350887675</v>
      </c>
      <c r="Q31" s="3">
        <v>0.6449111282086516</v>
      </c>
      <c r="R31" s="3">
        <v>0.66061622197308845</v>
      </c>
      <c r="S31" s="3">
        <v>0.1384237090033742</v>
      </c>
    </row>
    <row r="32" spans="1:19">
      <c r="A32" s="4" t="s">
        <v>1</v>
      </c>
      <c r="B32" s="3">
        <v>0.65</v>
      </c>
      <c r="C32" s="3">
        <v>0.65</v>
      </c>
      <c r="D32" s="3">
        <v>0</v>
      </c>
      <c r="E32" s="3">
        <v>15</v>
      </c>
      <c r="F32" s="3">
        <v>15</v>
      </c>
      <c r="G32" s="3">
        <v>0</v>
      </c>
      <c r="H32" s="3">
        <v>2.1257536606373817</v>
      </c>
      <c r="I32" s="3">
        <v>2.1257536606373817</v>
      </c>
      <c r="J32" s="3">
        <v>0</v>
      </c>
      <c r="K32" s="3">
        <v>0.6</v>
      </c>
      <c r="L32" s="3">
        <v>0.6</v>
      </c>
      <c r="M32" s="3">
        <v>0</v>
      </c>
      <c r="N32" s="3">
        <v>0.75</v>
      </c>
      <c r="O32" s="3">
        <v>0.75</v>
      </c>
      <c r="P32" s="3">
        <v>0</v>
      </c>
      <c r="Q32" s="3">
        <v>0.23009590122931084</v>
      </c>
      <c r="R32" s="3">
        <v>0.23009590122931084</v>
      </c>
      <c r="S32" s="3">
        <v>0</v>
      </c>
    </row>
    <row r="33" spans="1:19">
      <c r="A33" s="4" t="s">
        <v>52</v>
      </c>
      <c r="B33" s="3">
        <v>0.62</v>
      </c>
      <c r="C33" s="3">
        <v>0.60807393158359013</v>
      </c>
      <c r="D33" s="3">
        <v>0.2508347857405972</v>
      </c>
      <c r="E33" s="3">
        <v>12.06</v>
      </c>
      <c r="F33" s="3">
        <v>11.185140394088672</v>
      </c>
      <c r="G33" s="3">
        <v>3.6148336666875274</v>
      </c>
      <c r="H33" s="3">
        <v>2.7333333333333329</v>
      </c>
      <c r="I33" s="3">
        <v>2.7399064039408869</v>
      </c>
      <c r="J33" s="3">
        <v>0.91162455602290171</v>
      </c>
      <c r="K33" s="3">
        <v>0.51491053677932408</v>
      </c>
      <c r="L33" s="3">
        <v>0.51968623104921219</v>
      </c>
      <c r="M33" s="3">
        <v>0.19085842281328205</v>
      </c>
      <c r="N33" s="3">
        <v>0.67906976744186043</v>
      </c>
      <c r="O33" s="3">
        <v>0.69753033113695062</v>
      </c>
      <c r="P33" s="3">
        <v>0.15216829088764738</v>
      </c>
      <c r="Q33" s="3">
        <v>0.20451571934862894</v>
      </c>
      <c r="R33" s="3">
        <v>0.21209730289903048</v>
      </c>
      <c r="S33" s="3">
        <v>6.7018712794839869E-2</v>
      </c>
    </row>
    <row r="34" spans="1:19">
      <c r="A34" s="4" t="s">
        <v>53</v>
      </c>
      <c r="B34" s="3">
        <v>0.50355731225296441</v>
      </c>
      <c r="C34" s="3">
        <v>0.53251254715535634</v>
      </c>
      <c r="D34" s="3">
        <v>0.23109594827085114</v>
      </c>
      <c r="E34" s="3">
        <v>9.4927536231884062</v>
      </c>
      <c r="F34" s="3">
        <v>9.0672770757478407</v>
      </c>
      <c r="G34" s="3">
        <v>2.3298297784666353</v>
      </c>
      <c r="H34" s="3">
        <v>2.4565217391304346</v>
      </c>
      <c r="I34" s="3">
        <v>2.4074337831084462</v>
      </c>
      <c r="J34" s="3">
        <v>0.7819699253300717</v>
      </c>
      <c r="K34" s="3">
        <v>0.54090909090909089</v>
      </c>
      <c r="L34" s="3">
        <v>0.52588167363768146</v>
      </c>
      <c r="M34" s="3">
        <v>0.18937263888167921</v>
      </c>
      <c r="N34" s="3">
        <v>0.73599999999999999</v>
      </c>
      <c r="O34" s="3">
        <v>0.73058113061681951</v>
      </c>
      <c r="P34" s="3">
        <v>0.13293606262122939</v>
      </c>
      <c r="Q34" s="3">
        <v>0.21029950763071178</v>
      </c>
      <c r="R34" s="3">
        <v>0.21842301784474716</v>
      </c>
      <c r="S34" s="3">
        <v>7.1404996208534327E-2</v>
      </c>
    </row>
    <row r="35" spans="1:19">
      <c r="A35" s="2" t="s">
        <v>2</v>
      </c>
      <c r="B35" s="3">
        <v>12.8254042849532</v>
      </c>
      <c r="C35" s="3">
        <v>13.322179091584708</v>
      </c>
      <c r="D35" s="3">
        <v>3.790387448613088</v>
      </c>
      <c r="E35" s="3">
        <v>282.44114011230317</v>
      </c>
      <c r="F35" s="3">
        <v>282.3110981423315</v>
      </c>
      <c r="G35" s="3">
        <v>46.42748376437028</v>
      </c>
      <c r="H35" s="3">
        <v>58.823554753201044</v>
      </c>
      <c r="I35" s="3">
        <v>58.651084977249646</v>
      </c>
      <c r="J35" s="3">
        <v>10.977418815501501</v>
      </c>
      <c r="K35" s="3">
        <v>13.097237010960098</v>
      </c>
      <c r="L35" s="3">
        <v>12.655404083501207</v>
      </c>
      <c r="M35" s="3">
        <v>3.4325506351097652</v>
      </c>
      <c r="N35" s="3">
        <v>17.305081977938212</v>
      </c>
      <c r="O35" s="3">
        <v>17.265223514747817</v>
      </c>
      <c r="P35" s="3">
        <v>1.9489569727528779</v>
      </c>
      <c r="Q35" s="3">
        <v>4.1284857523949912</v>
      </c>
      <c r="R35" s="3">
        <v>4.1787614518488985</v>
      </c>
      <c r="S35" s="3">
        <v>0.83081465339367155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S7"/>
  <sheetViews>
    <sheetView workbookViewId="0">
      <selection activeCell="B5" sqref="B5"/>
    </sheetView>
  </sheetViews>
  <sheetFormatPr defaultRowHeight="15"/>
  <cols>
    <col min="1" max="1" width="18" bestFit="1" customWidth="1"/>
    <col min="2" max="2" width="30" bestFit="1" customWidth="1"/>
    <col min="3" max="3" width="27.140625" bestFit="1" customWidth="1"/>
    <col min="4" max="4" width="27.7109375" bestFit="1" customWidth="1"/>
    <col min="5" max="5" width="32.7109375" bestFit="1" customWidth="1"/>
    <col min="6" max="6" width="30" bestFit="1" customWidth="1"/>
    <col min="7" max="7" width="30.5703125" bestFit="1" customWidth="1"/>
    <col min="8" max="8" width="29.28515625" bestFit="1" customWidth="1"/>
    <col min="9" max="9" width="26.5703125" bestFit="1" customWidth="1"/>
    <col min="10" max="10" width="27.140625" bestFit="1" customWidth="1"/>
    <col min="11" max="11" width="26.85546875" bestFit="1" customWidth="1"/>
    <col min="12" max="12" width="24" bestFit="1" customWidth="1"/>
    <col min="13" max="13" width="24.5703125" bestFit="1" customWidth="1"/>
    <col min="14" max="14" width="36.85546875" bestFit="1" customWidth="1"/>
    <col min="15" max="15" width="34.140625" bestFit="1" customWidth="1"/>
    <col min="16" max="16" width="34.7109375" bestFit="1" customWidth="1"/>
    <col min="17" max="17" width="26.7109375" bestFit="1" customWidth="1"/>
    <col min="18" max="18" width="23.85546875" bestFit="1" customWidth="1"/>
    <col min="19" max="19" width="24.42578125" bestFit="1" customWidth="1"/>
  </cols>
  <sheetData>
    <row r="1" spans="1:19">
      <c r="B1" s="1" t="s">
        <v>9</v>
      </c>
    </row>
    <row r="2" spans="1:19">
      <c r="A2" s="1" t="s">
        <v>0</v>
      </c>
      <c r="B2" t="s">
        <v>11</v>
      </c>
      <c r="C2" t="s">
        <v>12</v>
      </c>
      <c r="D2" t="s">
        <v>13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</v>
      </c>
      <c r="O2" t="s">
        <v>14</v>
      </c>
      <c r="P2" t="s">
        <v>10</v>
      </c>
      <c r="Q2" t="s">
        <v>36</v>
      </c>
      <c r="R2" t="s">
        <v>37</v>
      </c>
      <c r="S2" t="s">
        <v>38</v>
      </c>
    </row>
    <row r="3" spans="1:19">
      <c r="A3" s="2" t="s">
        <v>49</v>
      </c>
      <c r="B3" s="3">
        <v>1.5760734957598599</v>
      </c>
      <c r="C3" s="3">
        <v>1.6494661491793623</v>
      </c>
      <c r="D3" s="3">
        <v>0.57062132295383572</v>
      </c>
      <c r="E3" s="3">
        <v>34.602753623188406</v>
      </c>
      <c r="F3" s="3">
        <v>35.000433767781317</v>
      </c>
      <c r="G3" s="3">
        <v>6.5702474213881237</v>
      </c>
      <c r="H3" s="3">
        <v>7.3028904107164987</v>
      </c>
      <c r="I3" s="3">
        <v>7.2525006583697866</v>
      </c>
      <c r="J3" s="3">
        <v>1.4719643305153485</v>
      </c>
      <c r="K3" s="3">
        <v>1.6279098442602919</v>
      </c>
      <c r="L3" s="3">
        <v>1.5796991602026034</v>
      </c>
      <c r="M3" s="3">
        <v>0.45080601475485566</v>
      </c>
      <c r="N3" s="3">
        <v>2.1727867203219313</v>
      </c>
      <c r="O3" s="3">
        <v>2.1576461652666228</v>
      </c>
      <c r="P3" s="3">
        <v>0.25274552930592414</v>
      </c>
      <c r="Q3" s="3">
        <v>0.4911905894670221</v>
      </c>
      <c r="R3" s="3">
        <v>0.51481672990281446</v>
      </c>
      <c r="S3" s="3">
        <v>0.13497412594925923</v>
      </c>
    </row>
    <row r="4" spans="1:19">
      <c r="A4" s="4" t="s">
        <v>1</v>
      </c>
      <c r="B4" s="3">
        <v>0.65</v>
      </c>
      <c r="C4" s="3">
        <v>0.65</v>
      </c>
      <c r="D4" s="3">
        <v>0</v>
      </c>
      <c r="E4" s="3">
        <v>15</v>
      </c>
      <c r="F4" s="3">
        <v>15</v>
      </c>
      <c r="G4" s="3">
        <v>0</v>
      </c>
      <c r="H4" s="3">
        <v>2.1933251933251934</v>
      </c>
      <c r="I4" s="3">
        <v>2.1933251933251934</v>
      </c>
      <c r="J4" s="3">
        <v>0</v>
      </c>
      <c r="K4" s="3">
        <v>0.6</v>
      </c>
      <c r="L4" s="3">
        <v>0.6</v>
      </c>
      <c r="M4" s="3">
        <v>0</v>
      </c>
      <c r="N4" s="3">
        <v>0.75</v>
      </c>
      <c r="O4" s="3">
        <v>0.75</v>
      </c>
      <c r="P4" s="3">
        <v>0</v>
      </c>
      <c r="Q4" s="3">
        <v>0.17849921038057348</v>
      </c>
      <c r="R4" s="3">
        <v>0.17849921038057348</v>
      </c>
      <c r="S4" s="3">
        <v>0</v>
      </c>
    </row>
    <row r="5" spans="1:19">
      <c r="A5" s="4" t="s">
        <v>52</v>
      </c>
      <c r="B5" s="3">
        <v>0.4631578947368421</v>
      </c>
      <c r="C5" s="3">
        <v>0.51677581436148445</v>
      </c>
      <c r="D5" s="3">
        <v>0.29644975199808166</v>
      </c>
      <c r="E5" s="3">
        <v>10.61</v>
      </c>
      <c r="F5" s="3">
        <v>10.738249514699469</v>
      </c>
      <c r="G5" s="3">
        <v>3.6064944544349182</v>
      </c>
      <c r="H5" s="3">
        <v>2.706666666666667</v>
      </c>
      <c r="I5" s="3">
        <v>2.6373183547893952</v>
      </c>
      <c r="J5" s="3">
        <v>0.78231389863532885</v>
      </c>
      <c r="K5" s="3">
        <v>0.48786407766990292</v>
      </c>
      <c r="L5" s="3">
        <v>0.47764235930934817</v>
      </c>
      <c r="M5" s="3">
        <v>0.22363371946630728</v>
      </c>
      <c r="N5" s="3">
        <v>0.6964285714285714</v>
      </c>
      <c r="O5" s="3">
        <v>0.6938524654365299</v>
      </c>
      <c r="P5" s="3">
        <v>0.13169681066128947</v>
      </c>
      <c r="Q5" s="3">
        <v>0.15125424169318263</v>
      </c>
      <c r="R5" s="3">
        <v>0.16195647175382497</v>
      </c>
      <c r="S5" s="3">
        <v>6.5588005279298561E-2</v>
      </c>
    </row>
    <row r="6" spans="1:19">
      <c r="A6" s="4" t="s">
        <v>53</v>
      </c>
      <c r="B6" s="3">
        <v>0.46291560102301788</v>
      </c>
      <c r="C6" s="3">
        <v>0.48269033481787799</v>
      </c>
      <c r="D6" s="3">
        <v>0.27417157095575406</v>
      </c>
      <c r="E6" s="3">
        <v>8.9927536231884062</v>
      </c>
      <c r="F6" s="3">
        <v>9.2621842530818483</v>
      </c>
      <c r="G6" s="3">
        <v>2.9637529669532054</v>
      </c>
      <c r="H6" s="3">
        <v>2.4028985507246374</v>
      </c>
      <c r="I6" s="3">
        <v>2.421857110255198</v>
      </c>
      <c r="J6" s="3">
        <v>0.68965043188001962</v>
      </c>
      <c r="K6" s="3">
        <v>0.54004576659038905</v>
      </c>
      <c r="L6" s="3">
        <v>0.50205680089325544</v>
      </c>
      <c r="M6" s="3">
        <v>0.22717229528854838</v>
      </c>
      <c r="N6" s="3">
        <v>0.72635814889336014</v>
      </c>
      <c r="O6" s="3">
        <v>0.71379369983009278</v>
      </c>
      <c r="P6" s="3">
        <v>0.12104871864463466</v>
      </c>
      <c r="Q6" s="3">
        <v>0.16143713739326601</v>
      </c>
      <c r="R6" s="3">
        <v>0.17436104776841596</v>
      </c>
      <c r="S6" s="3">
        <v>6.938612066996068E-2</v>
      </c>
    </row>
    <row r="7" spans="1:19">
      <c r="A7" s="2" t="s">
        <v>2</v>
      </c>
      <c r="B7" s="3">
        <v>1.5760734957598599</v>
      </c>
      <c r="C7" s="3">
        <v>1.6494661491793623</v>
      </c>
      <c r="D7" s="3">
        <v>0.57062132295383572</v>
      </c>
      <c r="E7" s="3">
        <v>34.602753623188406</v>
      </c>
      <c r="F7" s="3">
        <v>35.000433767781317</v>
      </c>
      <c r="G7" s="3">
        <v>6.5702474213881237</v>
      </c>
      <c r="H7" s="3">
        <v>7.3028904107164987</v>
      </c>
      <c r="I7" s="3">
        <v>7.2525006583697866</v>
      </c>
      <c r="J7" s="3">
        <v>1.4719643305153485</v>
      </c>
      <c r="K7" s="3">
        <v>1.6279098442602919</v>
      </c>
      <c r="L7" s="3">
        <v>1.5796991602026034</v>
      </c>
      <c r="M7" s="3">
        <v>0.45080601475485566</v>
      </c>
      <c r="N7" s="3">
        <v>2.1727867203219313</v>
      </c>
      <c r="O7" s="3">
        <v>2.1576461652666228</v>
      </c>
      <c r="P7" s="3">
        <v>0.25274552930592414</v>
      </c>
      <c r="Q7" s="3">
        <v>0.4911905894670221</v>
      </c>
      <c r="R7" s="3">
        <v>0.51481672990281446</v>
      </c>
      <c r="S7" s="3">
        <v>0.13497412594925923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Q57"/>
  <sheetViews>
    <sheetView topLeftCell="A28" workbookViewId="0">
      <selection activeCell="E18" sqref="E18"/>
    </sheetView>
  </sheetViews>
  <sheetFormatPr defaultRowHeight="15"/>
  <cols>
    <col min="1" max="1" width="21.7109375" bestFit="1" customWidth="1"/>
    <col min="2" max="2" width="17" bestFit="1" customWidth="1"/>
    <col min="3" max="3" width="14.85546875" bestFit="1" customWidth="1"/>
    <col min="7" max="7" width="19.85546875" customWidth="1"/>
    <col min="8" max="8" width="17.5703125" customWidth="1"/>
  </cols>
  <sheetData>
    <row r="1" spans="1:17">
      <c r="F1">
        <v>4</v>
      </c>
      <c r="G1" t="s">
        <v>15</v>
      </c>
      <c r="H1" t="str">
        <f>VLOOKUP(F1,$N$1:$P$6,2,FALSE)</f>
        <v>Seguro %</v>
      </c>
      <c r="I1" t="str">
        <f>VLOOKUP(F1,$N$1:$P$6,3,FALSE)</f>
        <v>Seguros (Penetração Líquida)</v>
      </c>
      <c r="J1" t="str">
        <f>VLOOKUP(F1,$N$1:$Q$6,4,FALSE)</f>
        <v>0.0%</v>
      </c>
      <c r="N1">
        <v>1</v>
      </c>
      <c r="O1" t="s">
        <v>16</v>
      </c>
      <c r="P1" t="s">
        <v>24</v>
      </c>
      <c r="Q1" s="7" t="str">
        <f>"0.0"</f>
        <v>0.0</v>
      </c>
    </row>
    <row r="2" spans="1:17">
      <c r="F2">
        <v>3</v>
      </c>
      <c r="G2" t="str">
        <f>VLOOKUP(F2,$N$9:$O$17,2,FALSE)</f>
        <v>NORDESTE</v>
      </c>
      <c r="N2">
        <v>2</v>
      </c>
      <c r="O2" t="s">
        <v>39</v>
      </c>
      <c r="P2" t="s">
        <v>40</v>
      </c>
      <c r="Q2" s="7" t="str">
        <f>"0.0"</f>
        <v>0.0</v>
      </c>
    </row>
    <row r="3" spans="1:17">
      <c r="B3" s="1" t="s">
        <v>9</v>
      </c>
      <c r="F3" t="s">
        <v>56</v>
      </c>
      <c r="G3" t="s">
        <v>21</v>
      </c>
      <c r="H3" t="s">
        <v>20</v>
      </c>
      <c r="I3" t="s">
        <v>17</v>
      </c>
      <c r="J3" t="s">
        <v>18</v>
      </c>
      <c r="K3" t="s">
        <v>19</v>
      </c>
      <c r="L3" t="s">
        <v>50</v>
      </c>
      <c r="N3">
        <v>3</v>
      </c>
      <c r="O3" t="s">
        <v>41</v>
      </c>
      <c r="P3" t="s">
        <v>42</v>
      </c>
      <c r="Q3" s="7" t="str">
        <f t="shared" ref="Q3" si="0">"0.0"</f>
        <v>0.0</v>
      </c>
    </row>
    <row r="4" spans="1:17">
      <c r="A4" s="1" t="s">
        <v>0</v>
      </c>
      <c r="B4" t="s">
        <v>22</v>
      </c>
      <c r="C4" t="s">
        <v>23</v>
      </c>
      <c r="F4" s="4" t="s">
        <v>52</v>
      </c>
      <c r="G4" s="5" t="s">
        <v>49</v>
      </c>
      <c r="H4" s="9" t="s">
        <v>55</v>
      </c>
      <c r="I4">
        <f>GETPIVOTDATA("Soma de MEDIANA " &amp;$H$1,Pivot_Dados_Brasil!$A$1,"COMP",$F4,"REGIONAL",$G4)</f>
        <v>0.48786407766990292</v>
      </c>
      <c r="J4">
        <f>GETPIVOTDATA("Soma de MEDIA " &amp;$H$1,Pivot_Dados_Brasil!$A$1,"COMP",$F4,"REGIONAL",$G4)</f>
        <v>0.47764235930934817</v>
      </c>
      <c r="K4">
        <f>GETPIVOTDATA("Soma de DESVIO " &amp;$H$1,Pivot_Dados_Brasil!$A$1,"COMP",$F4,"REGIONAL",$G4)</f>
        <v>0.22363371946630728</v>
      </c>
      <c r="L4">
        <f>K4/J4</f>
        <v>0.46820328035744724</v>
      </c>
      <c r="M4" s="10">
        <f>(I5-I4)/I4</f>
        <v>0.10695948176736461</v>
      </c>
      <c r="N4">
        <v>4</v>
      </c>
      <c r="O4" t="s">
        <v>43</v>
      </c>
      <c r="P4" t="s">
        <v>44</v>
      </c>
      <c r="Q4" s="8" t="str">
        <f>"0.0%"</f>
        <v>0.0%</v>
      </c>
    </row>
    <row r="5" spans="1:17">
      <c r="A5" s="2" t="s">
        <v>49</v>
      </c>
      <c r="B5" s="3">
        <v>1.6279098442602922</v>
      </c>
      <c r="C5" s="3">
        <v>1.5796991602026036</v>
      </c>
      <c r="F5" s="4" t="s">
        <v>53</v>
      </c>
      <c r="G5" s="5" t="s">
        <v>49</v>
      </c>
      <c r="H5" s="9" t="s">
        <v>57</v>
      </c>
      <c r="I5">
        <f>GETPIVOTDATA("Soma de MEDIANA " &amp;$H$1,Pivot_Dados_Brasil!$A$1,"COMP",$F5,"REGIONAL",$G5)</f>
        <v>0.54004576659038905</v>
      </c>
      <c r="J5">
        <f>GETPIVOTDATA("Soma de MEDIA " &amp;$H$1,Pivot_Dados_Brasil!$A$1,"COMP",$F5,"REGIONAL",$G5)</f>
        <v>0.50205680089325544</v>
      </c>
      <c r="K5">
        <f>GETPIVOTDATA("Soma de DESVIO " &amp;$H$1,Pivot_Dados_Brasil!$A$1,"COMP",$F5,"REGIONAL",$G5)</f>
        <v>0.22717229528854838</v>
      </c>
      <c r="L5">
        <f t="shared" ref="L5:L6" si="1">K5/J5</f>
        <v>0.45248325465239242</v>
      </c>
      <c r="M5" s="10">
        <f>(L5-L4)/L4</f>
        <v>-3.3575214793568835E-2</v>
      </c>
      <c r="N5">
        <v>5</v>
      </c>
      <c r="O5" t="s">
        <v>45</v>
      </c>
      <c r="P5" t="s">
        <v>46</v>
      </c>
      <c r="Q5" s="8" t="str">
        <f>"0.0%"</f>
        <v>0.0%</v>
      </c>
    </row>
    <row r="6" spans="1:17">
      <c r="A6" s="4" t="s">
        <v>55</v>
      </c>
      <c r="B6" s="3">
        <v>0.48786407766990292</v>
      </c>
      <c r="C6" s="3">
        <v>0.47764235930934817</v>
      </c>
      <c r="F6" s="4" t="s">
        <v>1</v>
      </c>
      <c r="G6" s="5" t="s">
        <v>49</v>
      </c>
      <c r="H6" t="s">
        <v>1</v>
      </c>
      <c r="I6">
        <f>GETPIVOTDATA("Soma de MEDIANA " &amp;$H$1,Pivot_Dados_Brasil!$A$1,"COMP",$F6,"REGIONAL",$G6)</f>
        <v>0.6</v>
      </c>
      <c r="J6">
        <f>GETPIVOTDATA("Soma de MEDIA " &amp;$H$1,Pivot_Dados_Brasil!$A$1,"COMP",$F6,"REGIONAL",$G6)</f>
        <v>0.6</v>
      </c>
      <c r="K6">
        <f>GETPIVOTDATA("Soma de DESVIO " &amp;$H$1,Pivot_Dados_Brasil!$A$1,"COMP",$F6,"REGIONAL",$G6)</f>
        <v>0</v>
      </c>
      <c r="L6">
        <f t="shared" si="1"/>
        <v>0</v>
      </c>
      <c r="M6" s="10"/>
      <c r="N6">
        <v>6</v>
      </c>
      <c r="O6" t="s">
        <v>47</v>
      </c>
      <c r="P6" t="s">
        <v>48</v>
      </c>
      <c r="Q6" s="8" t="str">
        <f>"0.0%"</f>
        <v>0.0%</v>
      </c>
    </row>
    <row r="7" spans="1:17">
      <c r="A7" s="4" t="s">
        <v>57</v>
      </c>
      <c r="B7" s="3">
        <v>0.54004576659038905</v>
      </c>
      <c r="C7" s="3">
        <v>0.50205680089325544</v>
      </c>
      <c r="F7" s="4" t="s">
        <v>52</v>
      </c>
      <c r="G7" s="5" t="s">
        <v>51</v>
      </c>
      <c r="H7" s="9" t="s">
        <v>55</v>
      </c>
      <c r="I7">
        <f>GETPIVOTDATA("Soma de MEDIANA " &amp;$H$1,Pivot_Dados!$A$1,"COMP",$F7,"REGIONAL",$G7)</f>
        <v>0.51491053677932408</v>
      </c>
      <c r="J7">
        <f>GETPIVOTDATA("Soma de MEDIA " &amp;$H$1,Pivot_Dados!$A$1,"COMP",$F7,"REGIONAL",$G7)</f>
        <v>0.51968623104921219</v>
      </c>
      <c r="K7">
        <f>GETPIVOTDATA("Soma de DESVIO " &amp;$H$1,Pivot_Dados!$A$1,"COMP",$F7,"REGIONAL",$G7)</f>
        <v>0.19085842281328205</v>
      </c>
      <c r="L7">
        <f>K7/J7</f>
        <v>0.36725703205172761</v>
      </c>
      <c r="M7" s="10">
        <f>(I8-I7)/I7</f>
        <v>5.0491400491400412E-2</v>
      </c>
    </row>
    <row r="8" spans="1:17">
      <c r="A8" s="4" t="s">
        <v>1</v>
      </c>
      <c r="B8" s="3">
        <v>0.6</v>
      </c>
      <c r="C8" s="3">
        <v>0.6</v>
      </c>
      <c r="F8" s="4" t="s">
        <v>53</v>
      </c>
      <c r="G8" s="5" t="s">
        <v>51</v>
      </c>
      <c r="H8" s="9" t="s">
        <v>57</v>
      </c>
      <c r="I8">
        <f>GETPIVOTDATA("Soma de MEDIANA " &amp;$H$1,Pivot_Dados!$A$1,"COMP",$F8,"REGIONAL",$G8)</f>
        <v>0.54090909090909089</v>
      </c>
      <c r="J8">
        <f>GETPIVOTDATA("Soma de MEDIA " &amp;$H$1,Pivot_Dados!$A$1,"COMP",$F8,"REGIONAL",$G8)</f>
        <v>0.52588167363768146</v>
      </c>
      <c r="K8">
        <f>GETPIVOTDATA("Soma de DESVIO " &amp;$H$1,Pivot_Dados!$A$1,"COMP",$F8,"REGIONAL",$G8)</f>
        <v>0.18937263888167921</v>
      </c>
      <c r="L8">
        <f t="shared" ref="L8:L9" si="2">K8/J8</f>
        <v>0.36010503574260688</v>
      </c>
      <c r="M8" s="10">
        <f>(L8-L7)/L7</f>
        <v>-1.9474089493032157E-2</v>
      </c>
      <c r="O8" t="s">
        <v>21</v>
      </c>
    </row>
    <row r="9" spans="1:17">
      <c r="A9" s="2" t="s">
        <v>51</v>
      </c>
      <c r="B9" s="3">
        <v>1.6558196276884152</v>
      </c>
      <c r="C9" s="3">
        <v>1.6455679046868936</v>
      </c>
      <c r="F9" s="4" t="s">
        <v>1</v>
      </c>
      <c r="G9" s="5" t="s">
        <v>51</v>
      </c>
      <c r="H9" t="s">
        <v>1</v>
      </c>
      <c r="I9">
        <f>GETPIVOTDATA("Soma de MEDIANA " &amp;$H$1,Pivot_Dados!$A$1,"COMP",$F9,"REGIONAL",$G9)</f>
        <v>0.6</v>
      </c>
      <c r="J9">
        <f>GETPIVOTDATA("Soma de MEDIA " &amp;$H$1,Pivot_Dados!$A$1,"COMP",$F9,"REGIONAL",$G9)</f>
        <v>0.6</v>
      </c>
      <c r="K9">
        <f>GETPIVOTDATA("Soma de DESVIO " &amp;$H$1,Pivot_Dados!$A$1,"COMP",$F9,"REGIONAL",$G9)</f>
        <v>0</v>
      </c>
      <c r="L9">
        <f t="shared" si="2"/>
        <v>0</v>
      </c>
      <c r="M9" s="10"/>
      <c r="N9">
        <v>1</v>
      </c>
      <c r="O9" s="5" t="s">
        <v>49</v>
      </c>
    </row>
    <row r="10" spans="1:17">
      <c r="A10" s="4" t="s">
        <v>55</v>
      </c>
      <c r="B10" s="3">
        <v>0.51491053677932408</v>
      </c>
      <c r="C10" s="3">
        <v>0.51968623104921219</v>
      </c>
      <c r="F10" s="4" t="s">
        <v>52</v>
      </c>
      <c r="G10" s="5" t="s">
        <v>4</v>
      </c>
      <c r="H10" s="9" t="s">
        <v>55</v>
      </c>
      <c r="I10">
        <f>GETPIVOTDATA("Soma de MEDIANA " &amp;$H$1,Pivot_Dados!$A$1,"COMP",$F10,"REGIONAL",$G10)</f>
        <v>0.57860615883306321</v>
      </c>
      <c r="J10">
        <f>GETPIVOTDATA("Soma de MEDIA " &amp;$H$1,Pivot_Dados!$A$1,"COMP",$F10,"REGIONAL",$G10)</f>
        <v>0.54553446040874465</v>
      </c>
      <c r="K10">
        <f>GETPIVOTDATA("Soma de DESVIO " &amp;$H$1,Pivot_Dados!$A$1,"COMP",$F10,"REGIONAL",$G10)</f>
        <v>0.1772906880829917</v>
      </c>
      <c r="L10">
        <f>K10/J10</f>
        <v>0.32498531431021915</v>
      </c>
      <c r="M10" s="10">
        <f>(I11-I10)/I10</f>
        <v>-1.8248719606185647E-2</v>
      </c>
      <c r="N10">
        <v>2</v>
      </c>
      <c r="O10" s="5" t="s">
        <v>51</v>
      </c>
    </row>
    <row r="11" spans="1:17">
      <c r="A11" s="4" t="s">
        <v>57</v>
      </c>
      <c r="B11" s="3">
        <v>0.54090909090909089</v>
      </c>
      <c r="C11" s="3">
        <v>0.52588167363768146</v>
      </c>
      <c r="F11" s="4" t="s">
        <v>53</v>
      </c>
      <c r="G11" s="5" t="s">
        <v>4</v>
      </c>
      <c r="H11" s="9" t="s">
        <v>57</v>
      </c>
      <c r="I11">
        <f>GETPIVOTDATA("Soma de MEDIANA " &amp;$H$1,Pivot_Dados!$A$1,"COMP",$F11,"REGIONAL",$G11)</f>
        <v>0.56804733727810652</v>
      </c>
      <c r="J11">
        <f>GETPIVOTDATA("Soma de MEDIA " &amp;$H$1,Pivot_Dados!$A$1,"COMP",$F11,"REGIONAL",$G11)</f>
        <v>0.52378701642929337</v>
      </c>
      <c r="K11">
        <f>GETPIVOTDATA("Soma de DESVIO " &amp;$H$1,Pivot_Dados!$A$1,"COMP",$F11,"REGIONAL",$G11)</f>
        <v>0.22586334224169854</v>
      </c>
      <c r="L11">
        <f t="shared" ref="L11:L12" si="3">K11/J11</f>
        <v>0.43121218196936367</v>
      </c>
      <c r="M11" s="10">
        <f>(L11-L10)/L10</f>
        <v>0.326866670528208</v>
      </c>
      <c r="N11">
        <v>3</v>
      </c>
      <c r="O11" s="5" t="s">
        <v>4</v>
      </c>
    </row>
    <row r="12" spans="1:17">
      <c r="A12" s="4" t="s">
        <v>1</v>
      </c>
      <c r="B12" s="3">
        <v>0.6</v>
      </c>
      <c r="C12" s="3">
        <v>0.6</v>
      </c>
      <c r="F12" s="4" t="s">
        <v>1</v>
      </c>
      <c r="G12" s="5" t="s">
        <v>4</v>
      </c>
      <c r="H12" t="s">
        <v>1</v>
      </c>
      <c r="I12">
        <f>GETPIVOTDATA("Soma de MEDIANA " &amp;$H$1,Pivot_Dados!$A$1,"COMP",$F12,"REGIONAL",$G12)</f>
        <v>0.6</v>
      </c>
      <c r="J12">
        <f>GETPIVOTDATA("Soma de MEDIA " &amp;$H$1,Pivot_Dados!$A$1,"COMP",$F12,"REGIONAL",$G12)</f>
        <v>0.6</v>
      </c>
      <c r="K12">
        <f>GETPIVOTDATA("Soma de DESVIO " &amp;$H$1,Pivot_Dados!$A$1,"COMP",$F12,"REGIONAL",$G12)</f>
        <v>0</v>
      </c>
      <c r="L12">
        <f t="shared" si="3"/>
        <v>0</v>
      </c>
      <c r="M12" s="10"/>
      <c r="N12">
        <v>4</v>
      </c>
      <c r="O12" s="5" t="s">
        <v>5</v>
      </c>
    </row>
    <row r="13" spans="1:17">
      <c r="A13" s="2" t="s">
        <v>4</v>
      </c>
      <c r="B13" s="3">
        <v>1.7466534961111697</v>
      </c>
      <c r="C13" s="3">
        <v>1.669321476838038</v>
      </c>
      <c r="F13" s="4" t="s">
        <v>52</v>
      </c>
      <c r="G13" s="5" t="s">
        <v>5</v>
      </c>
      <c r="H13" s="9" t="s">
        <v>55</v>
      </c>
      <c r="I13">
        <f>GETPIVOTDATA("Soma de MEDIANA " &amp;$H$1,Pivot_Dados!$A$1,"COMP",$F13,"REGIONAL",$G13)</f>
        <v>0.60263291139240505</v>
      </c>
      <c r="J13">
        <f>GETPIVOTDATA("Soma de MEDIA " &amp;$H$1,Pivot_Dados!$A$1,"COMP",$F13,"REGIONAL",$G13)</f>
        <v>0.58517912444499942</v>
      </c>
      <c r="K13">
        <f>GETPIVOTDATA("Soma de DESVIO " &amp;$H$1,Pivot_Dados!$A$1,"COMP",$F13,"REGIONAL",$G13)</f>
        <v>0.17883114315186963</v>
      </c>
      <c r="L13">
        <f>K13/J13</f>
        <v>0.3056006882020581</v>
      </c>
      <c r="M13" s="10">
        <f>(I14-I13)/I13</f>
        <v>8.2374356963822892E-2</v>
      </c>
      <c r="N13">
        <v>5</v>
      </c>
      <c r="O13" s="5" t="s">
        <v>6</v>
      </c>
    </row>
    <row r="14" spans="1:17">
      <c r="A14" s="4" t="s">
        <v>55</v>
      </c>
      <c r="B14" s="3">
        <v>0.57860615883306321</v>
      </c>
      <c r="C14" s="3">
        <v>0.54553446040874465</v>
      </c>
      <c r="F14" s="4" t="s">
        <v>53</v>
      </c>
      <c r="G14" s="5" t="s">
        <v>5</v>
      </c>
      <c r="H14" s="9" t="s">
        <v>57</v>
      </c>
      <c r="I14">
        <f>GETPIVOTDATA("Soma de MEDIANA " &amp;$H$1,Pivot_Dados!$A$1,"COMP",$F14,"REGIONAL",$G14)</f>
        <v>0.65227440995359087</v>
      </c>
      <c r="J14">
        <f>GETPIVOTDATA("Soma de MEDIA " &amp;$H$1,Pivot_Dados!$A$1,"COMP",$F14,"REGIONAL",$G14)</f>
        <v>0.64840933545639179</v>
      </c>
      <c r="K14">
        <f>GETPIVOTDATA("Soma de DESVIO " &amp;$H$1,Pivot_Dados!$A$1,"COMP",$F14,"REGIONAL",$G14)</f>
        <v>0.14653766853037625</v>
      </c>
      <c r="L14">
        <f t="shared" ref="L14:L15" si="4">K14/J14</f>
        <v>0.22599561807239205</v>
      </c>
      <c r="M14" s="10">
        <f>(L14-L13)/L13</f>
        <v>-0.26048720831751698</v>
      </c>
      <c r="N14">
        <v>6</v>
      </c>
      <c r="O14" s="5" t="s">
        <v>7</v>
      </c>
    </row>
    <row r="15" spans="1:17">
      <c r="A15" s="4" t="s">
        <v>57</v>
      </c>
      <c r="B15" s="3">
        <v>0.56804733727810652</v>
      </c>
      <c r="C15" s="3">
        <v>0.52378701642929337</v>
      </c>
      <c r="F15" s="4" t="s">
        <v>1</v>
      </c>
      <c r="G15" s="5" t="s">
        <v>5</v>
      </c>
      <c r="H15" t="s">
        <v>1</v>
      </c>
      <c r="I15">
        <f>GETPIVOTDATA("Soma de MEDIANA " &amp;$H$1,Pivot_Dados!$A$1,"COMP",$F15,"REGIONAL",$G15)</f>
        <v>0.6</v>
      </c>
      <c r="J15">
        <f>GETPIVOTDATA("Soma de MEDIA " &amp;$H$1,Pivot_Dados!$A$1,"COMP",$F15,"REGIONAL",$G15)</f>
        <v>0.6</v>
      </c>
      <c r="K15">
        <f>GETPIVOTDATA("Soma de DESVIO " &amp;$H$1,Pivot_Dados!$A$1,"COMP",$F15,"REGIONAL",$G15)</f>
        <v>0</v>
      </c>
      <c r="L15">
        <f t="shared" si="4"/>
        <v>0</v>
      </c>
      <c r="M15" s="10"/>
      <c r="N15">
        <v>7</v>
      </c>
      <c r="O15" s="5" t="s">
        <v>8</v>
      </c>
    </row>
    <row r="16" spans="1:17">
      <c r="A16" s="4" t="s">
        <v>1</v>
      </c>
      <c r="B16" s="3">
        <v>0.6</v>
      </c>
      <c r="C16" s="3">
        <v>0.6</v>
      </c>
      <c r="F16" s="4" t="s">
        <v>52</v>
      </c>
      <c r="G16" s="5" t="s">
        <v>6</v>
      </c>
      <c r="H16" s="9" t="s">
        <v>55</v>
      </c>
      <c r="I16">
        <f>GETPIVOTDATA("Soma de MEDIANA " &amp;$H$1,Pivot_Dados!$A$1,"COMP",$F16,"REGIONAL",$G16)</f>
        <v>0.50316455696202533</v>
      </c>
      <c r="J16">
        <f>GETPIVOTDATA("Soma de MEDIA " &amp;$H$1,Pivot_Dados!$A$1,"COMP",$F16,"REGIONAL",$G16)</f>
        <v>0.50482781675614841</v>
      </c>
      <c r="K16">
        <f>GETPIVOTDATA("Soma de DESVIO " &amp;$H$1,Pivot_Dados!$A$1,"COMP",$F16,"REGIONAL",$G16)</f>
        <v>0.20274757987906766</v>
      </c>
      <c r="L16">
        <f>K16/J16</f>
        <v>0.40161729038992849</v>
      </c>
      <c r="M16" s="10">
        <f>(I17-I16)/I16</f>
        <v>8.6732548890434955E-2</v>
      </c>
      <c r="N16">
        <v>8</v>
      </c>
      <c r="O16" s="5" t="s">
        <v>25</v>
      </c>
    </row>
    <row r="17" spans="1:15">
      <c r="A17" s="2" t="s">
        <v>5</v>
      </c>
      <c r="B17" s="3">
        <v>1.8549073213459959</v>
      </c>
      <c r="C17" s="3">
        <v>1.8335884599013914</v>
      </c>
      <c r="F17" s="4" t="s">
        <v>53</v>
      </c>
      <c r="G17" s="5" t="s">
        <v>6</v>
      </c>
      <c r="H17" s="9" t="s">
        <v>57</v>
      </c>
      <c r="I17">
        <f>GETPIVOTDATA("Soma de MEDIANA " &amp;$H$1,Pivot_Dados!$A$1,"COMP",$F17,"REGIONAL",$G17)</f>
        <v>0.54680530149866824</v>
      </c>
      <c r="J17">
        <f>GETPIVOTDATA("Soma de MEDIA " &amp;$H$1,Pivot_Dados!$A$1,"COMP",$F17,"REGIONAL",$G17)</f>
        <v>0.49351601771153619</v>
      </c>
      <c r="K17">
        <f>GETPIVOTDATA("Soma de DESVIO " &amp;$H$1,Pivot_Dados!$A$1,"COMP",$F17,"REGIONAL",$G17)</f>
        <v>0.23117928825172901</v>
      </c>
      <c r="L17">
        <f t="shared" ref="L17:L18" si="5">K17/J17</f>
        <v>0.46843320166936309</v>
      </c>
      <c r="M17" s="10">
        <f>(L17-L16)/L16</f>
        <v>0.16636711834434048</v>
      </c>
      <c r="N17">
        <v>9</v>
      </c>
      <c r="O17" s="5" t="s">
        <v>26</v>
      </c>
    </row>
    <row r="18" spans="1:15">
      <c r="A18" s="4" t="s">
        <v>55</v>
      </c>
      <c r="B18" s="3">
        <v>0.60263291139240505</v>
      </c>
      <c r="C18" s="3">
        <v>0.58517912444499942</v>
      </c>
      <c r="F18" s="4" t="s">
        <v>1</v>
      </c>
      <c r="G18" s="5" t="s">
        <v>6</v>
      </c>
      <c r="H18" t="s">
        <v>1</v>
      </c>
      <c r="I18">
        <f>GETPIVOTDATA("Soma de MEDIANA " &amp;$H$1,Pivot_Dados!$A$1,"COMP",$F18,"REGIONAL",$G18)</f>
        <v>0.6</v>
      </c>
      <c r="J18">
        <f>GETPIVOTDATA("Soma de MEDIA " &amp;$H$1,Pivot_Dados!$A$1,"COMP",$F18,"REGIONAL",$G18)</f>
        <v>0.6</v>
      </c>
      <c r="K18">
        <f>GETPIVOTDATA("Soma de DESVIO " &amp;$H$1,Pivot_Dados!$A$1,"COMP",$F18,"REGIONAL",$G18)</f>
        <v>0</v>
      </c>
      <c r="L18">
        <f t="shared" si="5"/>
        <v>0</v>
      </c>
      <c r="M18" s="10"/>
    </row>
    <row r="19" spans="1:15">
      <c r="A19" s="4" t="s">
        <v>57</v>
      </c>
      <c r="B19" s="3">
        <v>0.65227440995359087</v>
      </c>
      <c r="C19" s="3">
        <v>0.64840933545639179</v>
      </c>
      <c r="F19" s="4" t="s">
        <v>52</v>
      </c>
      <c r="G19" s="5" t="s">
        <v>7</v>
      </c>
      <c r="H19" s="9" t="s">
        <v>55</v>
      </c>
      <c r="I19">
        <f>GETPIVOTDATA("Soma de MEDIANA " &amp;$H$1,Pivot_Dados!$A$1,"COMP",$F19,"REGIONAL",$G19)</f>
        <v>0.59655870445344128</v>
      </c>
      <c r="J19">
        <f>GETPIVOTDATA("Soma de MEDIA " &amp;$H$1,Pivot_Dados!$A$1,"COMP",$F19,"REGIONAL",$G19)</f>
        <v>0.53151927442584634</v>
      </c>
      <c r="K19">
        <f>GETPIVOTDATA("Soma de DESVIO " &amp;$H$1,Pivot_Dados!$A$1,"COMP",$F19,"REGIONAL",$G19)</f>
        <v>0.20579781955678655</v>
      </c>
      <c r="L19">
        <f>K19/J19</f>
        <v>0.38718787720180398</v>
      </c>
      <c r="M19" s="10">
        <f>(I20-I19)/I19</f>
        <v>-5.575949518942384E-3</v>
      </c>
    </row>
    <row r="20" spans="1:15">
      <c r="A20" s="4" t="s">
        <v>1</v>
      </c>
      <c r="B20" s="3">
        <v>0.6</v>
      </c>
      <c r="C20" s="3">
        <v>0.6</v>
      </c>
      <c r="F20" s="4" t="s">
        <v>53</v>
      </c>
      <c r="G20" s="5" t="s">
        <v>7</v>
      </c>
      <c r="H20" s="9" t="s">
        <v>57</v>
      </c>
      <c r="I20">
        <f>GETPIVOTDATA("Soma de MEDIANA " &amp;$H$1,Pivot_Dados!$A$1,"COMP",$F20,"REGIONAL",$G20)</f>
        <v>0.59323232323232322</v>
      </c>
      <c r="J20">
        <f>GETPIVOTDATA("Soma de MEDIA " &amp;$H$1,Pivot_Dados!$A$1,"COMP",$F20,"REGIONAL",$G20)</f>
        <v>0.5319946313207421</v>
      </c>
      <c r="K20">
        <f>GETPIVOTDATA("Soma de DESVIO " &amp;$H$1,Pivot_Dados!$A$1,"COMP",$F20,"REGIONAL",$G20)</f>
        <v>0.23490367374674354</v>
      </c>
      <c r="L20">
        <f t="shared" ref="L20:L21" si="6">K20/J20</f>
        <v>0.44155271485271624</v>
      </c>
      <c r="M20" s="10">
        <f>(L20-L19)/L19</f>
        <v>0.1404094519792444</v>
      </c>
    </row>
    <row r="21" spans="1:15">
      <c r="A21" s="2" t="s">
        <v>6</v>
      </c>
      <c r="B21" s="3">
        <v>1.6499698584606937</v>
      </c>
      <c r="C21" s="3">
        <v>1.5983438344676846</v>
      </c>
      <c r="F21" s="4" t="s">
        <v>1</v>
      </c>
      <c r="G21" s="5" t="s">
        <v>7</v>
      </c>
      <c r="H21" t="s">
        <v>1</v>
      </c>
      <c r="I21">
        <f>GETPIVOTDATA("Soma de MEDIANA " &amp;$H$1,Pivot_Dados!$A$1,"COMP",$F21,"REGIONAL",$G21)</f>
        <v>0.6</v>
      </c>
      <c r="J21">
        <f>GETPIVOTDATA("Soma de MEDIA " &amp;$H$1,Pivot_Dados!$A$1,"COMP",$F21,"REGIONAL",$G21)</f>
        <v>0.6</v>
      </c>
      <c r="K21">
        <f>GETPIVOTDATA("Soma de DESVIO " &amp;$H$1,Pivot_Dados!$A$1,"COMP",$F21,"REGIONAL",$G21)</f>
        <v>0</v>
      </c>
      <c r="L21">
        <f t="shared" si="6"/>
        <v>0</v>
      </c>
      <c r="M21" s="10"/>
    </row>
    <row r="22" spans="1:15">
      <c r="A22" s="4" t="s">
        <v>55</v>
      </c>
      <c r="B22" s="3">
        <v>0.50316455696202533</v>
      </c>
      <c r="C22" s="3">
        <v>0.50482781675614841</v>
      </c>
      <c r="F22" s="4" t="s">
        <v>52</v>
      </c>
      <c r="G22" s="5" t="s">
        <v>8</v>
      </c>
      <c r="H22" s="9" t="s">
        <v>55</v>
      </c>
      <c r="I22">
        <f>GETPIVOTDATA("Soma de MEDIANA " &amp;$H$1,Pivot_Dados!$A$1,"COMP",$F22,"REGIONAL",$G22)</f>
        <v>0.33936651583710409</v>
      </c>
      <c r="J22">
        <f>GETPIVOTDATA("Soma de MEDIA " &amp;$H$1,Pivot_Dados!$A$1,"COMP",$F22,"REGIONAL",$G22)</f>
        <v>0.35875812230661119</v>
      </c>
      <c r="K22">
        <f>GETPIVOTDATA("Soma de DESVIO " &amp;$H$1,Pivot_Dados!$A$1,"COMP",$F22,"REGIONAL",$G22)</f>
        <v>0.2767166198158143</v>
      </c>
      <c r="L22">
        <f>K22/J22</f>
        <v>0.7713180625338415</v>
      </c>
      <c r="M22" s="10">
        <f>(I23-I22)/I22</f>
        <v>0.38778494623655901</v>
      </c>
    </row>
    <row r="23" spans="1:15">
      <c r="A23" s="4" t="s">
        <v>57</v>
      </c>
      <c r="B23" s="3">
        <v>0.54680530149866824</v>
      </c>
      <c r="C23" s="3">
        <v>0.49351601771153619</v>
      </c>
      <c r="F23" s="4" t="s">
        <v>53</v>
      </c>
      <c r="G23" s="5" t="s">
        <v>8</v>
      </c>
      <c r="H23" s="9" t="s">
        <v>57</v>
      </c>
      <c r="I23">
        <f>GETPIVOTDATA("Soma de MEDIANA " &amp;$H$1,Pivot_Dados!$A$1,"COMP",$F23,"REGIONAL",$G23)</f>
        <v>0.47096774193548385</v>
      </c>
      <c r="J23">
        <f>GETPIVOTDATA("Soma de MEDIA " &amp;$H$1,Pivot_Dados!$A$1,"COMP",$F23,"REGIONAL",$G23)</f>
        <v>0.4463172706544139</v>
      </c>
      <c r="K23">
        <f>GETPIVOTDATA("Soma de DESVIO " &amp;$H$1,Pivot_Dados!$A$1,"COMP",$F23,"REGIONAL",$G23)</f>
        <v>0.25252553438387776</v>
      </c>
      <c r="L23">
        <f t="shared" ref="L23:L24" si="7">K23/J23</f>
        <v>0.56579825829641661</v>
      </c>
      <c r="M23" s="10">
        <f>(L23-L22)/L22</f>
        <v>-0.26645273100733036</v>
      </c>
    </row>
    <row r="24" spans="1:15">
      <c r="A24" s="4" t="s">
        <v>1</v>
      </c>
      <c r="B24" s="3">
        <v>0.6</v>
      </c>
      <c r="C24" s="3">
        <v>0.6</v>
      </c>
      <c r="F24" s="4" t="s">
        <v>1</v>
      </c>
      <c r="G24" s="5" t="s">
        <v>8</v>
      </c>
      <c r="H24" t="s">
        <v>1</v>
      </c>
      <c r="I24">
        <f>GETPIVOTDATA("Soma de MEDIANA " &amp;$H$1,Pivot_Dados!$A$1,"COMP",$F24,"REGIONAL",$G24)</f>
        <v>0.6</v>
      </c>
      <c r="J24">
        <f>GETPIVOTDATA("Soma de MEDIA " &amp;$H$1,Pivot_Dados!$A$1,"COMP",$F24,"REGIONAL",$G24)</f>
        <v>0.6</v>
      </c>
      <c r="K24">
        <f>GETPIVOTDATA("Soma de DESVIO " &amp;$H$1,Pivot_Dados!$A$1,"COMP",$F24,"REGIONAL",$G24)</f>
        <v>0</v>
      </c>
      <c r="L24">
        <f t="shared" si="7"/>
        <v>0</v>
      </c>
      <c r="M24" s="10"/>
    </row>
    <row r="25" spans="1:15">
      <c r="A25" s="2" t="s">
        <v>7</v>
      </c>
      <c r="B25" s="3">
        <v>1.7897910276857645</v>
      </c>
      <c r="C25" s="3">
        <v>1.6635139057465884</v>
      </c>
      <c r="F25" s="4" t="s">
        <v>52</v>
      </c>
      <c r="G25" s="5" t="s">
        <v>25</v>
      </c>
      <c r="H25" s="9" t="s">
        <v>55</v>
      </c>
      <c r="I25">
        <f>GETPIVOTDATA("Soma de MEDIANA " &amp;$H$1,Pivot_Dados!$A$1,"COMP",$F25,"REGIONAL",$G25)</f>
        <v>0.41859248001549593</v>
      </c>
      <c r="J25">
        <f>GETPIVOTDATA("Soma de MEDIA " &amp;$H$1,Pivot_Dados!$A$1,"COMP",$F25,"REGIONAL",$G25)</f>
        <v>0.37210538877479987</v>
      </c>
      <c r="K25">
        <f>GETPIVOTDATA("Soma de DESVIO " &amp;$H$1,Pivot_Dados!$A$1,"COMP",$F25,"REGIONAL",$G25)</f>
        <v>0.22145078098671081</v>
      </c>
      <c r="L25">
        <f>K25/J25</f>
        <v>0.59512919637058515</v>
      </c>
      <c r="M25" s="10">
        <f>(I26-I25)/I25</f>
        <v>5.0197651875078741E-2</v>
      </c>
    </row>
    <row r="26" spans="1:15">
      <c r="A26" s="4" t="s">
        <v>55</v>
      </c>
      <c r="B26" s="3">
        <v>0.59655870445344128</v>
      </c>
      <c r="C26" s="3">
        <v>0.53151927442584634</v>
      </c>
      <c r="F26" s="4" t="s">
        <v>53</v>
      </c>
      <c r="G26" s="5" t="s">
        <v>25</v>
      </c>
      <c r="H26" s="9" t="s">
        <v>57</v>
      </c>
      <c r="I26">
        <f>GETPIVOTDATA("Soma de MEDIANA " &amp;$H$1,Pivot_Dados!$A$1,"COMP",$F26,"REGIONAL",$G26)</f>
        <v>0.43960483960483965</v>
      </c>
      <c r="J26">
        <f>GETPIVOTDATA("Soma de MEDIA " &amp;$H$1,Pivot_Dados!$A$1,"COMP",$F26,"REGIONAL",$G26)</f>
        <v>0.38767780836044807</v>
      </c>
      <c r="K26">
        <f>GETPIVOTDATA("Soma de DESVIO " &amp;$H$1,Pivot_Dados!$A$1,"COMP",$F26,"REGIONAL",$G26)</f>
        <v>0.21535667245069504</v>
      </c>
      <c r="L26">
        <f t="shared" ref="L26:L27" si="8">K26/J26</f>
        <v>0.55550425587028851</v>
      </c>
      <c r="M26" s="10">
        <f>(L26-L25)/L25</f>
        <v>-6.6582081238747204E-2</v>
      </c>
    </row>
    <row r="27" spans="1:15">
      <c r="A27" s="4" t="s">
        <v>57</v>
      </c>
      <c r="B27" s="3">
        <v>0.59323232323232322</v>
      </c>
      <c r="C27" s="3">
        <v>0.5319946313207421</v>
      </c>
      <c r="F27" s="4" t="s">
        <v>1</v>
      </c>
      <c r="G27" s="5" t="s">
        <v>25</v>
      </c>
      <c r="H27" t="s">
        <v>1</v>
      </c>
      <c r="I27">
        <f>GETPIVOTDATA("Soma de MEDIANA " &amp;$H$1,Pivot_Dados!$A$1,"COMP",$F27,"REGIONAL",$G27)</f>
        <v>0.6</v>
      </c>
      <c r="J27">
        <f>GETPIVOTDATA("Soma de MEDIA " &amp;$H$1,Pivot_Dados!$A$1,"COMP",$F27,"REGIONAL",$G27)</f>
        <v>0.6</v>
      </c>
      <c r="K27">
        <f>GETPIVOTDATA("Soma de DESVIO " &amp;$H$1,Pivot_Dados!$A$1,"COMP",$F27,"REGIONAL",$G27)</f>
        <v>0</v>
      </c>
      <c r="L27">
        <f t="shared" si="8"/>
        <v>0</v>
      </c>
      <c r="M27" s="10"/>
    </row>
    <row r="28" spans="1:15">
      <c r="A28" s="4" t="s">
        <v>1</v>
      </c>
      <c r="B28" s="3">
        <v>0.6</v>
      </c>
      <c r="C28" s="3">
        <v>0.6</v>
      </c>
      <c r="F28" s="4" t="s">
        <v>52</v>
      </c>
      <c r="G28" s="5" t="s">
        <v>26</v>
      </c>
      <c r="H28" s="9" t="s">
        <v>55</v>
      </c>
      <c r="I28">
        <f>GETPIVOTDATA("Soma de MEDIANA " &amp;$H$1,Pivot_Dados!$A$1,"COMP",$F28,"REGIONAL",$G28)</f>
        <v>0.42020560317929517</v>
      </c>
      <c r="J28">
        <f>GETPIVOTDATA("Soma de MEDIA " &amp;$H$1,Pivot_Dados!$A$1,"COMP",$F28,"REGIONAL",$G28)</f>
        <v>0.40666334551499389</v>
      </c>
      <c r="K28">
        <f>GETPIVOTDATA("Soma de DESVIO " &amp;$H$1,Pivot_Dados!$A$1,"COMP",$F28,"REGIONAL",$G28)</f>
        <v>0.23563552340015342</v>
      </c>
      <c r="L28">
        <f>K28/J28</f>
        <v>0.57943634703970492</v>
      </c>
      <c r="M28" s="10">
        <f>(I29-I28)/I28</f>
        <v>0.21692451320705536</v>
      </c>
    </row>
    <row r="29" spans="1:15">
      <c r="A29" s="2" t="s">
        <v>8</v>
      </c>
      <c r="B29" s="3">
        <v>1.4103342577725879</v>
      </c>
      <c r="C29" s="3">
        <v>1.4050753929610251</v>
      </c>
      <c r="F29" s="4" t="s">
        <v>53</v>
      </c>
      <c r="G29" s="5" t="s">
        <v>26</v>
      </c>
      <c r="H29" s="9" t="s">
        <v>57</v>
      </c>
      <c r="I29">
        <f>GETPIVOTDATA("Soma de MEDIANA " &amp;$H$1,Pivot_Dados!$A$1,"COMP",$F29,"REGIONAL",$G29)</f>
        <v>0.51135849909584086</v>
      </c>
      <c r="J29">
        <f>GETPIVOTDATA("Soma de MEDIA " &amp;$H$1,Pivot_Dados!$A$1,"COMP",$F29,"REGIONAL",$G29)</f>
        <v>0.47354656624934605</v>
      </c>
      <c r="K29">
        <f>GETPIVOTDATA("Soma de DESVIO " &amp;$H$1,Pivot_Dados!$A$1,"COMP",$F29,"REGIONAL",$G29)</f>
        <v>0.24748323893628979</v>
      </c>
      <c r="L29">
        <f t="shared" ref="L29:L30" si="9">K29/J29</f>
        <v>0.52261647866321437</v>
      </c>
      <c r="M29" s="10">
        <f>(L29-L28)/L28</f>
        <v>-9.8060587097752547E-2</v>
      </c>
    </row>
    <row r="30" spans="1:15">
      <c r="A30" s="4" t="s">
        <v>55</v>
      </c>
      <c r="B30" s="3">
        <v>0.33936651583710409</v>
      </c>
      <c r="C30" s="3">
        <v>0.35875812230661119</v>
      </c>
      <c r="F30" s="4" t="s">
        <v>1</v>
      </c>
      <c r="G30" s="5" t="s">
        <v>26</v>
      </c>
      <c r="H30" t="s">
        <v>1</v>
      </c>
      <c r="I30">
        <f>GETPIVOTDATA("Soma de MEDIANA " &amp;$H$1,Pivot_Dados!$A$1,"COMP",$F30,"REGIONAL",$G30)</f>
        <v>0.6</v>
      </c>
      <c r="J30">
        <f>GETPIVOTDATA("Soma de MEDIA " &amp;$H$1,Pivot_Dados!$A$1,"COMP",$F30,"REGIONAL",$G30)</f>
        <v>0.6</v>
      </c>
      <c r="K30">
        <f>GETPIVOTDATA("Soma de DESVIO " &amp;$H$1,Pivot_Dados!$A$1,"COMP",$F30,"REGIONAL",$G30)</f>
        <v>0</v>
      </c>
      <c r="L30">
        <f t="shared" si="9"/>
        <v>0</v>
      </c>
      <c r="M30" s="6"/>
    </row>
    <row r="31" spans="1:15">
      <c r="A31" s="4" t="s">
        <v>57</v>
      </c>
      <c r="B31" s="3">
        <v>0.47096774193548385</v>
      </c>
      <c r="C31" s="3">
        <v>0.4463172706544139</v>
      </c>
    </row>
    <row r="32" spans="1:15">
      <c r="A32" s="4" t="s">
        <v>1</v>
      </c>
      <c r="B32" s="3">
        <v>0.6</v>
      </c>
      <c r="C32" s="3">
        <v>0.6</v>
      </c>
    </row>
    <row r="33" spans="1:15">
      <c r="A33" s="2" t="s">
        <v>25</v>
      </c>
      <c r="B33" s="3">
        <v>1.4581973196203357</v>
      </c>
      <c r="C33" s="3">
        <v>1.3597831971352479</v>
      </c>
      <c r="G33" t="s">
        <v>21</v>
      </c>
      <c r="H33" t="s">
        <v>54</v>
      </c>
      <c r="I33" t="s">
        <v>17</v>
      </c>
      <c r="J33" t="s">
        <v>18</v>
      </c>
      <c r="K33" t="s">
        <v>19</v>
      </c>
      <c r="L33" t="s">
        <v>50</v>
      </c>
      <c r="N33" t="s">
        <v>20</v>
      </c>
    </row>
    <row r="34" spans="1:15">
      <c r="A34" s="4" t="s">
        <v>55</v>
      </c>
      <c r="B34" s="3">
        <v>0.41859248001549593</v>
      </c>
      <c r="C34" s="3">
        <v>0.37210538877479987</v>
      </c>
      <c r="E34" t="str">
        <f t="shared" ref="E34:E51" si="10">VLOOKUP(F34,$O$1:$P$6,2,FALSE) &amp; " - " &amp; G34</f>
        <v>Indicações LASA / HC - NORDESTE</v>
      </c>
      <c r="F34" t="s">
        <v>16</v>
      </c>
      <c r="G34" s="5" t="str">
        <f>$G$2</f>
        <v>NORDESTE</v>
      </c>
      <c r="H34" s="9" t="s">
        <v>55</v>
      </c>
      <c r="I34">
        <f>GETPIVOTDATA("Soma de MEDIANA " &amp;$F34,IF($G34="BRASIL",Pivot_Dados_Brasil!$A$1,Pivot_Dados!$A$1),"COMP",$N34,"REGIONAL",$G34)</f>
        <v>0.66142857142857137</v>
      </c>
      <c r="J34">
        <f>GETPIVOTDATA("Soma de MEDIA " &amp;$F34,IF($G34="BRASIL",Pivot_Dados_Brasil!$A$1,Pivot_Dados!$A$1),"COMP",$N34,"REGIONAL",$G34)</f>
        <v>0.65655563121804084</v>
      </c>
      <c r="K34">
        <f>GETPIVOTDATA("Soma de DESVIO " &amp;$F34,IF($G34="BRASIL",Pivot_Dados_Brasil!$A$1,Pivot_Dados!$A$1),"COMP",$N34,"REGIONAL",$G34)</f>
        <v>0.25457936251370289</v>
      </c>
      <c r="L34">
        <f>K34/J34</f>
        <v>0.38774987283470208</v>
      </c>
      <c r="M34" s="6">
        <f>(I35-I34)/I34</f>
        <v>-0.12080946567752827</v>
      </c>
      <c r="N34" s="4" t="s">
        <v>52</v>
      </c>
    </row>
    <row r="35" spans="1:15">
      <c r="A35" s="4" t="s">
        <v>57</v>
      </c>
      <c r="B35" s="3">
        <v>0.43960483960483965</v>
      </c>
      <c r="C35" s="3">
        <v>0.38767780836044807</v>
      </c>
      <c r="E35" t="str">
        <f t="shared" si="10"/>
        <v>Indicações LASA / HC - NORDESTE</v>
      </c>
      <c r="F35" t="s">
        <v>16</v>
      </c>
      <c r="G35" s="5" t="str">
        <f t="shared" ref="G35:G51" si="11">$G$2</f>
        <v>NORDESTE</v>
      </c>
      <c r="H35" s="9" t="s">
        <v>57</v>
      </c>
      <c r="I35">
        <f>GETPIVOTDATA("Soma de MEDIANA " &amp;$F35,IF($G35="BRASIL",Pivot_Dados_Brasil!$A$1,Pivot_Dados!$A$1),"COMP",$N35,"REGIONAL",$G35)</f>
        <v>0.58152173913043481</v>
      </c>
      <c r="J35">
        <f>GETPIVOTDATA("Soma de MEDIA " &amp;$F35,IF($G35="BRASIL",Pivot_Dados_Brasil!$A$1,Pivot_Dados!$A$1),"COMP",$N35,"REGIONAL",$G35)</f>
        <v>0.60600392001077286</v>
      </c>
      <c r="K35">
        <f>GETPIVOTDATA("Soma de DESVIO " &amp;$F35,IF($G35="BRASIL",Pivot_Dados_Brasil!$A$1,Pivot_Dados!$A$1),"COMP",$N35,"REGIONAL",$G35)</f>
        <v>0.28776031882058434</v>
      </c>
      <c r="L35">
        <f t="shared" ref="L35:L51" si="12">K35/J35</f>
        <v>0.47484893961654384</v>
      </c>
      <c r="M35" s="6">
        <f>(L35-L34)/L34</f>
        <v>0.22462693835356104</v>
      </c>
      <c r="N35" s="4" t="s">
        <v>53</v>
      </c>
      <c r="O35" s="9"/>
    </row>
    <row r="36" spans="1:15">
      <c r="A36" s="4" t="s">
        <v>1</v>
      </c>
      <c r="B36" s="3">
        <v>0.6</v>
      </c>
      <c r="C36" s="3">
        <v>0.6</v>
      </c>
      <c r="E36" t="str">
        <f t="shared" si="10"/>
        <v>Indicações LASA / HC - NORDESTE</v>
      </c>
      <c r="F36" t="s">
        <v>16</v>
      </c>
      <c r="G36" s="5" t="str">
        <f t="shared" si="11"/>
        <v>NORDESTE</v>
      </c>
      <c r="H36" t="s">
        <v>1</v>
      </c>
      <c r="I36">
        <f>GETPIVOTDATA("Soma de MEDIANA " &amp;$F36,IF($G36="BRASIL",Pivot_Dados_Brasil!$A$1,Pivot_Dados!$A$1),"COMP",$N36,"REGIONAL",$G36)</f>
        <v>0.65</v>
      </c>
      <c r="J36">
        <f>GETPIVOTDATA("Soma de MEDIA " &amp;$F36,IF($G36="BRASIL",Pivot_Dados_Brasil!$A$1,Pivot_Dados!$A$1),"COMP",$N36,"REGIONAL",$G36)</f>
        <v>0.65</v>
      </c>
      <c r="K36">
        <f>GETPIVOTDATA("Soma de DESVIO " &amp;$F36,IF($G36="BRASIL",Pivot_Dados_Brasil!$A$1,Pivot_Dados!$A$1),"COMP",$N36,"REGIONAL",$G36)</f>
        <v>0</v>
      </c>
      <c r="L36">
        <f t="shared" si="12"/>
        <v>0</v>
      </c>
      <c r="M36" s="6"/>
      <c r="N36" s="4" t="s">
        <v>1</v>
      </c>
    </row>
    <row r="37" spans="1:15">
      <c r="A37" s="2" t="s">
        <v>26</v>
      </c>
      <c r="B37" s="3">
        <v>1.5315641022751358</v>
      </c>
      <c r="C37" s="3">
        <v>1.4802099117643399</v>
      </c>
      <c r="E37" t="str">
        <f t="shared" si="10"/>
        <v>Atividades / HC - NORDESTE</v>
      </c>
      <c r="F37" t="s">
        <v>39</v>
      </c>
      <c r="G37" s="5" t="str">
        <f t="shared" si="11"/>
        <v>NORDESTE</v>
      </c>
      <c r="H37" s="9" t="s">
        <v>55</v>
      </c>
      <c r="I37">
        <f>GETPIVOTDATA("Soma de MEDIANA " &amp;$F37,IF($G37="BRASIL",Pivot_Dados_Brasil!$A$1,Pivot_Dados!$A$1),"COMP",$N37,"REGIONAL",$G37)</f>
        <v>14.689090909090909</v>
      </c>
      <c r="J37">
        <f>GETPIVOTDATA("Soma de MEDIA " &amp;$F37,IF($G37="BRASIL",Pivot_Dados_Brasil!$A$1,Pivot_Dados!$A$1),"COMP",$N37,"REGIONAL",$G37)</f>
        <v>15.427970693327836</v>
      </c>
      <c r="K37">
        <f>GETPIVOTDATA("Soma de DESVIO " &amp;$F37,IF($G37="BRASIL",Pivot_Dados_Brasil!$A$1,Pivot_Dados!$A$1),"COMP",$N37,"REGIONAL",$G37)</f>
        <v>3.8048801540355202</v>
      </c>
      <c r="L37">
        <f t="shared" si="12"/>
        <v>0.24662220519261319</v>
      </c>
      <c r="M37" s="6">
        <f>(I38-I37)/I37</f>
        <v>-9.1512079088565693E-2</v>
      </c>
      <c r="N37" s="4" t="s">
        <v>52</v>
      </c>
    </row>
    <row r="38" spans="1:15">
      <c r="A38" s="4" t="s">
        <v>55</v>
      </c>
      <c r="B38" s="3">
        <v>0.42020560317929517</v>
      </c>
      <c r="C38" s="3">
        <v>0.40666334551499389</v>
      </c>
      <c r="E38" t="str">
        <f t="shared" si="10"/>
        <v>Atividades / HC - NORDESTE</v>
      </c>
      <c r="F38" t="s">
        <v>39</v>
      </c>
      <c r="G38" s="5" t="str">
        <f t="shared" si="11"/>
        <v>NORDESTE</v>
      </c>
      <c r="H38" s="9" t="s">
        <v>57</v>
      </c>
      <c r="I38">
        <f>GETPIVOTDATA("Soma de MEDIANA " &amp;$F38,IF($G38="BRASIL",Pivot_Dados_Brasil!$A$1,Pivot_Dados!$A$1),"COMP",$N38,"REGIONAL",$G38)</f>
        <v>13.344861660079051</v>
      </c>
      <c r="J38">
        <f>GETPIVOTDATA("Soma de MEDIA " &amp;$F38,IF($G38="BRASIL",Pivot_Dados_Brasil!$A$1,Pivot_Dados!$A$1),"COMP",$N38,"REGIONAL",$G38)</f>
        <v>13.113630239096075</v>
      </c>
      <c r="K38">
        <f>GETPIVOTDATA("Soma de DESVIO " &amp;$F38,IF($G38="BRASIL",Pivot_Dados_Brasil!$A$1,Pivot_Dados!$A$1),"COMP",$N38,"REGIONAL",$G38)</f>
        <v>4.4833327154209606</v>
      </c>
      <c r="L38">
        <f t="shared" si="12"/>
        <v>0.34188341700032543</v>
      </c>
      <c r="M38" s="6">
        <f>(L38-L37)/L37</f>
        <v>0.38626372565808809</v>
      </c>
      <c r="N38" s="4" t="s">
        <v>53</v>
      </c>
      <c r="O38" s="9"/>
    </row>
    <row r="39" spans="1:15">
      <c r="A39" s="4" t="s">
        <v>57</v>
      </c>
      <c r="B39" s="3">
        <v>0.51135849909584086</v>
      </c>
      <c r="C39" s="3">
        <v>0.47354656624934605</v>
      </c>
      <c r="E39" t="str">
        <f t="shared" si="10"/>
        <v>Atividades / HC - NORDESTE</v>
      </c>
      <c r="F39" t="s">
        <v>39</v>
      </c>
      <c r="G39" s="5" t="str">
        <f t="shared" si="11"/>
        <v>NORDESTE</v>
      </c>
      <c r="H39" t="s">
        <v>1</v>
      </c>
      <c r="I39">
        <f>GETPIVOTDATA("Soma de MEDIANA " &amp;$F39,IF($G39="BRASIL",Pivot_Dados_Brasil!$A$1,Pivot_Dados!$A$1),"COMP",$N39,"REGIONAL",$G39)</f>
        <v>15</v>
      </c>
      <c r="J39">
        <f>GETPIVOTDATA("Soma de MEDIA " &amp;$F39,IF($G39="BRASIL",Pivot_Dados_Brasil!$A$1,Pivot_Dados!$A$1),"COMP",$N39,"REGIONAL",$G39)</f>
        <v>15</v>
      </c>
      <c r="K39">
        <f>GETPIVOTDATA("Soma de DESVIO " &amp;$F39,IF($G39="BRASIL",Pivot_Dados_Brasil!$A$1,Pivot_Dados!$A$1),"COMP",$N39,"REGIONAL",$G39)</f>
        <v>0</v>
      </c>
      <c r="L39">
        <f t="shared" si="12"/>
        <v>0</v>
      </c>
      <c r="M39" s="6"/>
      <c r="N39" s="4" t="s">
        <v>1</v>
      </c>
    </row>
    <row r="40" spans="1:15">
      <c r="A40" s="4" t="s">
        <v>1</v>
      </c>
      <c r="B40" s="3">
        <v>0.6</v>
      </c>
      <c r="C40" s="3">
        <v>0.6</v>
      </c>
      <c r="E40" t="str">
        <f t="shared" si="10"/>
        <v>Contas Novas / HC - NORDESTE</v>
      </c>
      <c r="F40" t="s">
        <v>41</v>
      </c>
      <c r="G40" s="5" t="str">
        <f t="shared" si="11"/>
        <v>NORDESTE</v>
      </c>
      <c r="H40" s="9" t="s">
        <v>55</v>
      </c>
      <c r="I40">
        <f>GETPIVOTDATA("Soma de MEDIANA " &amp;$F40,IF($G40="BRASIL",Pivot_Dados_Brasil!$A$1,Pivot_Dados!$A$1),"COMP",$N40,"REGIONAL",$G40)</f>
        <v>3.0133333333333332</v>
      </c>
      <c r="J40">
        <f>GETPIVOTDATA("Soma de MEDIA " &amp;$F40,IF($G40="BRASIL",Pivot_Dados_Brasil!$A$1,Pivot_Dados!$A$1),"COMP",$N40,"REGIONAL",$G40)</f>
        <v>3.0583949013949003</v>
      </c>
      <c r="K40">
        <f>GETPIVOTDATA("Soma de DESVIO " &amp;$F40,IF($G40="BRASIL",Pivot_Dados_Brasil!$A$1,Pivot_Dados!$A$1),"COMP",$N40,"REGIONAL",$G40)</f>
        <v>0.64374508603063674</v>
      </c>
      <c r="L40">
        <f t="shared" si="12"/>
        <v>0.21048461915007499</v>
      </c>
      <c r="M40" s="6">
        <f>(I41-I40)/I40</f>
        <v>-0.11504424778761048</v>
      </c>
      <c r="N40" s="4" t="s">
        <v>52</v>
      </c>
    </row>
    <row r="41" spans="1:15">
      <c r="A41" s="2" t="s">
        <v>2</v>
      </c>
      <c r="B41" s="3">
        <v>14.725146855220391</v>
      </c>
      <c r="C41" s="3">
        <v>14.235103243703811</v>
      </c>
      <c r="E41" t="str">
        <f t="shared" si="10"/>
        <v>Contas Novas / HC - NORDESTE</v>
      </c>
      <c r="F41" t="s">
        <v>41</v>
      </c>
      <c r="G41" s="5" t="str">
        <f t="shared" si="11"/>
        <v>NORDESTE</v>
      </c>
      <c r="H41" s="9" t="s">
        <v>57</v>
      </c>
      <c r="I41">
        <f>GETPIVOTDATA("Soma de MEDIANA " &amp;$F41,IF($G41="BRASIL",Pivot_Dados_Brasil!$A$1,Pivot_Dados!$A$1),"COMP",$N41,"REGIONAL",$G41)</f>
        <v>2.666666666666667</v>
      </c>
      <c r="J41">
        <f>GETPIVOTDATA("Soma de MEDIA " &amp;$F41,IF($G41="BRASIL",Pivot_Dados_Brasil!$A$1,Pivot_Dados!$A$1),"COMP",$N41,"REGIONAL",$G41)</f>
        <v>2.6984985166662185</v>
      </c>
      <c r="K41">
        <f>GETPIVOTDATA("Soma de DESVIO " &amp;$F41,IF($G41="BRASIL",Pivot_Dados_Brasil!$A$1,Pivot_Dados!$A$1),"COMP",$N41,"REGIONAL",$G41)</f>
        <v>0.79608980008432773</v>
      </c>
      <c r="L41">
        <f t="shared" si="12"/>
        <v>0.29501213180870439</v>
      </c>
      <c r="M41" s="6">
        <f>(L41-L40)/L40</f>
        <v>0.40158522271103098</v>
      </c>
      <c r="N41" s="4" t="s">
        <v>53</v>
      </c>
      <c r="O41" s="9"/>
    </row>
    <row r="42" spans="1:15">
      <c r="E42" t="str">
        <f t="shared" si="10"/>
        <v>Contas Novas / HC - NORDESTE</v>
      </c>
      <c r="F42" t="s">
        <v>41</v>
      </c>
      <c r="G42" s="5" t="str">
        <f t="shared" si="11"/>
        <v>NORDESTE</v>
      </c>
      <c r="H42" t="s">
        <v>1</v>
      </c>
      <c r="I42">
        <f>GETPIVOTDATA("Soma de MEDIANA " &amp;$F42,IF($G42="BRASIL",Pivot_Dados_Brasil!$A$1,Pivot_Dados!$A$1),"COMP",$N42,"REGIONAL",$G42)</f>
        <v>2.406900050735667</v>
      </c>
      <c r="J42">
        <f>GETPIVOTDATA("Soma de MEDIA " &amp;$F42,IF($G42="BRASIL",Pivot_Dados_Brasil!$A$1,Pivot_Dados!$A$1),"COMP",$N42,"REGIONAL",$G42)</f>
        <v>2.406900050735667</v>
      </c>
      <c r="K42">
        <f>GETPIVOTDATA("Soma de DESVIO " &amp;$F42,IF($G42="BRASIL",Pivot_Dados_Brasil!$A$1,Pivot_Dados!$A$1),"COMP",$N42,"REGIONAL",$G42)</f>
        <v>0</v>
      </c>
      <c r="L42">
        <f t="shared" si="12"/>
        <v>0</v>
      </c>
      <c r="M42" s="6"/>
      <c r="N42" s="4" t="s">
        <v>1</v>
      </c>
    </row>
    <row r="43" spans="1:15">
      <c r="E43" t="str">
        <f t="shared" si="10"/>
        <v>Seguros (Penetração Líquida) - NORDESTE</v>
      </c>
      <c r="F43" t="s">
        <v>43</v>
      </c>
      <c r="G43" s="5" t="str">
        <f t="shared" si="11"/>
        <v>NORDESTE</v>
      </c>
      <c r="H43" s="9" t="s">
        <v>55</v>
      </c>
      <c r="I43">
        <f>GETPIVOTDATA("Soma de MEDIANA " &amp;$F43,IF($G43="BRASIL",Pivot_Dados_Brasil!$A$1,Pivot_Dados!$A$1),"COMP",$N43,"REGIONAL",$G43)</f>
        <v>0.57860615883306321</v>
      </c>
      <c r="J43">
        <f>GETPIVOTDATA("Soma de MEDIA " &amp;$F43,IF($G43="BRASIL",Pivot_Dados_Brasil!$A$1,Pivot_Dados!$A$1),"COMP",$N43,"REGIONAL",$G43)</f>
        <v>0.54553446040874465</v>
      </c>
      <c r="K43">
        <f>GETPIVOTDATA("Soma de DESVIO " &amp;$F43,IF($G43="BRASIL",Pivot_Dados_Brasil!$A$1,Pivot_Dados!$A$1),"COMP",$N43,"REGIONAL",$G43)</f>
        <v>0.1772906880829917</v>
      </c>
      <c r="L43">
        <f t="shared" si="12"/>
        <v>0.32498531431021915</v>
      </c>
      <c r="M43" s="6">
        <f>(I44-I43)/I43</f>
        <v>-1.8248719606185647E-2</v>
      </c>
      <c r="N43" s="4" t="s">
        <v>52</v>
      </c>
    </row>
    <row r="44" spans="1:15">
      <c r="E44" t="str">
        <f t="shared" si="10"/>
        <v>Seguros (Penetração Líquida) - NORDESTE</v>
      </c>
      <c r="F44" t="s">
        <v>43</v>
      </c>
      <c r="G44" s="5" t="str">
        <f t="shared" si="11"/>
        <v>NORDESTE</v>
      </c>
      <c r="H44" s="9" t="s">
        <v>57</v>
      </c>
      <c r="I44">
        <f>GETPIVOTDATA("Soma de MEDIANA " &amp;$F44,IF($G44="BRASIL",Pivot_Dados_Brasil!$A$1,Pivot_Dados!$A$1),"COMP",$N44,"REGIONAL",$G44)</f>
        <v>0.56804733727810652</v>
      </c>
      <c r="J44">
        <f>GETPIVOTDATA("Soma de MEDIA " &amp;$F44,IF($G44="BRASIL",Pivot_Dados_Brasil!$A$1,Pivot_Dados!$A$1),"COMP",$N44,"REGIONAL",$G44)</f>
        <v>0.52378701642929337</v>
      </c>
      <c r="K44">
        <f>GETPIVOTDATA("Soma de DESVIO " &amp;$F44,IF($G44="BRASIL",Pivot_Dados_Brasil!$A$1,Pivot_Dados!$A$1),"COMP",$N44,"REGIONAL",$G44)</f>
        <v>0.22586334224169854</v>
      </c>
      <c r="L44">
        <f t="shared" si="12"/>
        <v>0.43121218196936367</v>
      </c>
      <c r="M44" s="6">
        <f>(L44-L43)/L43</f>
        <v>0.326866670528208</v>
      </c>
      <c r="N44" s="4" t="s">
        <v>53</v>
      </c>
      <c r="O44" s="9"/>
    </row>
    <row r="45" spans="1:15">
      <c r="E45" t="str">
        <f t="shared" si="10"/>
        <v>Seguros (Penetração Líquida) - NORDESTE</v>
      </c>
      <c r="F45" t="s">
        <v>43</v>
      </c>
      <c r="G45" s="5" t="str">
        <f t="shared" si="11"/>
        <v>NORDESTE</v>
      </c>
      <c r="H45" t="s">
        <v>1</v>
      </c>
      <c r="I45">
        <f>GETPIVOTDATA("Soma de MEDIANA " &amp;$F45,IF($G45="BRASIL",Pivot_Dados_Brasil!$A$1,Pivot_Dados!$A$1),"COMP",$N45,"REGIONAL",$G45)</f>
        <v>0.6</v>
      </c>
      <c r="J45">
        <f>GETPIVOTDATA("Soma de MEDIA " &amp;$F45,IF($G45="BRASIL",Pivot_Dados_Brasil!$A$1,Pivot_Dados!$A$1),"COMP",$N45,"REGIONAL",$G45)</f>
        <v>0.6</v>
      </c>
      <c r="K45">
        <f>GETPIVOTDATA("Soma de DESVIO " &amp;$F45,IF($G45="BRASIL",Pivot_Dados_Brasil!$A$1,Pivot_Dados!$A$1),"COMP",$N45,"REGIONAL",$G45)</f>
        <v>0</v>
      </c>
      <c r="L45">
        <f t="shared" si="12"/>
        <v>0</v>
      </c>
      <c r="M45" s="6"/>
      <c r="N45" s="4" t="s">
        <v>1</v>
      </c>
    </row>
    <row r="46" spans="1:15">
      <c r="E46" t="str">
        <f t="shared" si="10"/>
        <v>Ativação Imediata - NORDESTE</v>
      </c>
      <c r="F46" t="s">
        <v>45</v>
      </c>
      <c r="G46" s="5" t="str">
        <f t="shared" si="11"/>
        <v>NORDESTE</v>
      </c>
      <c r="H46" s="9" t="s">
        <v>55</v>
      </c>
      <c r="I46">
        <f>GETPIVOTDATA("Soma de MEDIANA " &amp;$F46,IF($G46="BRASIL",Pivot_Dados_Brasil!$A$1,Pivot_Dados!$A$1),"COMP",$N46,"REGIONAL",$G46)</f>
        <v>0.74479166666666663</v>
      </c>
      <c r="J46">
        <f>GETPIVOTDATA("Soma de MEDIA " &amp;$F46,IF($G46="BRASIL",Pivot_Dados_Brasil!$A$1,Pivot_Dados!$A$1),"COMP",$N46,"REGIONAL",$G46)</f>
        <v>0.73618635252239228</v>
      </c>
      <c r="K46">
        <f>GETPIVOTDATA("Soma de DESVIO " &amp;$F46,IF($G46="BRASIL",Pivot_Dados_Brasil!$A$1,Pivot_Dados!$A$1),"COMP",$N46,"REGIONAL",$G46)</f>
        <v>9.4391521786036742E-2</v>
      </c>
      <c r="L46">
        <f t="shared" si="12"/>
        <v>0.1282168862036405</v>
      </c>
      <c r="M46" s="6">
        <f>(I47-I46)/I46</f>
        <v>7.7275022570427775E-3</v>
      </c>
      <c r="N46" s="4" t="s">
        <v>52</v>
      </c>
    </row>
    <row r="47" spans="1:15">
      <c r="E47" t="str">
        <f t="shared" si="10"/>
        <v>Ativação Imediata - NORDESTE</v>
      </c>
      <c r="F47" t="s">
        <v>45</v>
      </c>
      <c r="G47" s="5" t="str">
        <f t="shared" si="11"/>
        <v>NORDESTE</v>
      </c>
      <c r="H47" s="9" t="s">
        <v>57</v>
      </c>
      <c r="I47">
        <f>GETPIVOTDATA("Soma de MEDIANA " &amp;$F47,IF($G47="BRASIL",Pivot_Dados_Brasil!$A$1,Pivot_Dados!$A$1),"COMP",$N47,"REGIONAL",$G47)</f>
        <v>0.75054704595185995</v>
      </c>
      <c r="J47">
        <f>GETPIVOTDATA("Soma de MEDIA " &amp;$F47,IF($G47="BRASIL",Pivot_Dados_Brasil!$A$1,Pivot_Dados!$A$1),"COMP",$N47,"REGIONAL",$G47)</f>
        <v>0.76441100851330201</v>
      </c>
      <c r="K47">
        <f>GETPIVOTDATA("Soma de DESVIO " &amp;$F47,IF($G47="BRASIL",Pivot_Dados_Brasil!$A$1,Pivot_Dados!$A$1),"COMP",$N47,"REGIONAL",$G47)</f>
        <v>8.9800609560444986E-2</v>
      </c>
      <c r="L47">
        <f t="shared" si="12"/>
        <v>0.11747686592726811</v>
      </c>
      <c r="M47" s="6">
        <f>(L47-L46)/L46</f>
        <v>-8.3764475915555664E-2</v>
      </c>
      <c r="N47" s="4" t="s">
        <v>53</v>
      </c>
      <c r="O47" s="9"/>
    </row>
    <row r="48" spans="1:15">
      <c r="E48" t="str">
        <f t="shared" si="10"/>
        <v>Ativação Imediata - NORDESTE</v>
      </c>
      <c r="F48" t="s">
        <v>45</v>
      </c>
      <c r="G48" s="5" t="str">
        <f t="shared" si="11"/>
        <v>NORDESTE</v>
      </c>
      <c r="H48" t="s">
        <v>1</v>
      </c>
      <c r="I48">
        <f>GETPIVOTDATA("Soma de MEDIANA " &amp;$F48,IF($G48="BRASIL",Pivot_Dados_Brasil!$A$1,Pivot_Dados!$A$1),"COMP",$N48,"REGIONAL",$G48)</f>
        <v>0.75</v>
      </c>
      <c r="J48">
        <f>GETPIVOTDATA("Soma de MEDIA " &amp;$F48,IF($G48="BRASIL",Pivot_Dados_Brasil!$A$1,Pivot_Dados!$A$1),"COMP",$N48,"REGIONAL",$G48)</f>
        <v>0.75</v>
      </c>
      <c r="K48">
        <f>GETPIVOTDATA("Soma de DESVIO " &amp;$F48,IF($G48="BRASIL",Pivot_Dados_Brasil!$A$1,Pivot_Dados!$A$1),"COMP",$N48,"REGIONAL",$G48)</f>
        <v>0</v>
      </c>
      <c r="L48">
        <f t="shared" si="12"/>
        <v>0</v>
      </c>
      <c r="M48" s="6"/>
      <c r="N48" s="4" t="s">
        <v>1</v>
      </c>
    </row>
    <row r="49" spans="5:15">
      <c r="E49" t="str">
        <f t="shared" si="10"/>
        <v>Participação LASA - NORDESTE</v>
      </c>
      <c r="F49" t="s">
        <v>47</v>
      </c>
      <c r="G49" s="5" t="str">
        <f t="shared" si="11"/>
        <v>NORDESTE</v>
      </c>
      <c r="H49" s="9" t="s">
        <v>55</v>
      </c>
      <c r="I49">
        <f>GETPIVOTDATA("Soma de MEDIANA " &amp;$F49,IF($G49="BRASIL",Pivot_Dados_Brasil!$A$1,Pivot_Dados!$A$1),"COMP",$N49,"REGIONAL",$G49)</f>
        <v>0.20891833344954092</v>
      </c>
      <c r="J49">
        <f>GETPIVOTDATA("Soma de MEDIA " &amp;$F49,IF($G49="BRASIL",Pivot_Dados_Brasil!$A$1,Pivot_Dados!$A$1),"COMP",$N49,"REGIONAL",$G49)</f>
        <v>0.21632201163252773</v>
      </c>
      <c r="K49">
        <f>GETPIVOTDATA("Soma de DESVIO " &amp;$F49,IF($G49="BRASIL",Pivot_Dados_Brasil!$A$1,Pivot_Dados!$A$1),"COMP",$N49,"REGIONAL",$G49)</f>
        <v>6.1903425700443354E-2</v>
      </c>
      <c r="L49">
        <f t="shared" si="12"/>
        <v>0.286163323063029</v>
      </c>
      <c r="M49" s="6">
        <f>(I50-I49)/I49</f>
        <v>0.1153635978976888</v>
      </c>
      <c r="N49" s="4" t="s">
        <v>52</v>
      </c>
    </row>
    <row r="50" spans="5:15">
      <c r="E50" t="str">
        <f t="shared" si="10"/>
        <v>Participação LASA - NORDESTE</v>
      </c>
      <c r="F50" t="s">
        <v>47</v>
      </c>
      <c r="G50" s="5" t="str">
        <f t="shared" si="11"/>
        <v>NORDESTE</v>
      </c>
      <c r="H50" s="9" t="s">
        <v>57</v>
      </c>
      <c r="I50">
        <f>GETPIVOTDATA("Soma de MEDIANA " &amp;$F50,IF($G50="BRASIL",Pivot_Dados_Brasil!$A$1,Pivot_Dados!$A$1),"COMP",$N50,"REGIONAL",$G50)</f>
        <v>0.23301990406306902</v>
      </c>
      <c r="J50">
        <f>GETPIVOTDATA("Soma de MEDIA " &amp;$F50,IF($G50="BRASIL",Pivot_Dados_Brasil!$A$1,Pivot_Dados!$A$1),"COMP",$N50,"REGIONAL",$G50)</f>
        <v>0.23318412523652807</v>
      </c>
      <c r="K50">
        <f>GETPIVOTDATA("Soma de DESVIO " &amp;$F50,IF($G50="BRASIL",Pivot_Dados_Brasil!$A$1,Pivot_Dados!$A$1),"COMP",$N50,"REGIONAL",$G50)</f>
        <v>6.597919394723209E-2</v>
      </c>
      <c r="L50">
        <f t="shared" si="12"/>
        <v>0.28294890949504703</v>
      </c>
      <c r="M50" s="6">
        <f>(L50-L49)/L49</f>
        <v>-1.1232793684304451E-2</v>
      </c>
      <c r="N50" s="4" t="s">
        <v>53</v>
      </c>
      <c r="O50" s="9"/>
    </row>
    <row r="51" spans="5:15">
      <c r="E51" t="str">
        <f t="shared" si="10"/>
        <v>Participação LASA - NORDESTE</v>
      </c>
      <c r="F51" t="s">
        <v>47</v>
      </c>
      <c r="G51" s="5" t="str">
        <f t="shared" si="11"/>
        <v>NORDESTE</v>
      </c>
      <c r="H51" t="s">
        <v>1</v>
      </c>
      <c r="I51">
        <f>GETPIVOTDATA("Soma de MEDIANA " &amp;$F51,IF($G51="BRASIL",Pivot_Dados_Brasil!$A$1,Pivot_Dados!$A$1),"COMP",$N51,"REGIONAL",$G51)</f>
        <v>0.24112221953122209</v>
      </c>
      <c r="J51">
        <f>GETPIVOTDATA("Soma de MEDIA " &amp;$F51,IF($G51="BRASIL",Pivot_Dados_Brasil!$A$1,Pivot_Dados!$A$1),"COMP",$N51,"REGIONAL",$G51)</f>
        <v>0.24112221953122209</v>
      </c>
      <c r="K51">
        <f>GETPIVOTDATA("Soma de DESVIO " &amp;$F51,IF($G51="BRASIL",Pivot_Dados_Brasil!$A$1,Pivot_Dados!$A$1),"COMP",$N51,"REGIONAL",$G51)</f>
        <v>0</v>
      </c>
      <c r="L51">
        <f t="shared" si="12"/>
        <v>0</v>
      </c>
      <c r="M51" s="6"/>
      <c r="N51" s="4" t="s">
        <v>1</v>
      </c>
    </row>
    <row r="53" spans="5:15">
      <c r="O53" s="6"/>
    </row>
    <row r="54" spans="5:15">
      <c r="O54" s="6"/>
    </row>
    <row r="56" spans="5:15">
      <c r="O56" s="6"/>
    </row>
    <row r="57" spans="5:15">
      <c r="O57" s="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0:X41"/>
  <sheetViews>
    <sheetView showGridLines="0" topLeftCell="A16" zoomScale="85" zoomScaleNormal="85" workbookViewId="0">
      <selection activeCell="B21" sqref="B21:D21"/>
    </sheetView>
  </sheetViews>
  <sheetFormatPr defaultRowHeight="15"/>
  <cols>
    <col min="1" max="1" width="10.42578125" customWidth="1"/>
    <col min="2" max="4" width="9.28515625" customWidth="1"/>
    <col min="5" max="5" width="8.42578125" customWidth="1"/>
    <col min="6" max="8" width="9.28515625" customWidth="1"/>
    <col min="9" max="9" width="3" customWidth="1"/>
    <col min="10" max="12" width="9.28515625" customWidth="1"/>
    <col min="13" max="13" width="8.42578125" customWidth="1"/>
    <col min="14" max="16" width="9.28515625" customWidth="1"/>
    <col min="17" max="17" width="2.7109375" customWidth="1"/>
    <col min="18" max="20" width="9.28515625" customWidth="1"/>
    <col min="21" max="21" width="8.42578125" customWidth="1"/>
    <col min="22" max="24" width="9.28515625" customWidth="1"/>
  </cols>
  <sheetData>
    <row r="20" spans="2:24" ht="18.75">
      <c r="B20" s="12" t="s">
        <v>17</v>
      </c>
      <c r="C20" s="12"/>
      <c r="D20" s="12"/>
      <c r="F20" s="12" t="s">
        <v>50</v>
      </c>
      <c r="G20" s="12"/>
      <c r="H20" s="12"/>
      <c r="J20" s="12" t="s">
        <v>17</v>
      </c>
      <c r="K20" s="12"/>
      <c r="L20" s="12"/>
      <c r="N20" s="12" t="s">
        <v>50</v>
      </c>
      <c r="O20" s="12"/>
      <c r="P20" s="12"/>
      <c r="R20" s="12" t="s">
        <v>17</v>
      </c>
      <c r="S20" s="12"/>
      <c r="T20" s="12"/>
      <c r="V20" s="12" t="s">
        <v>50</v>
      </c>
      <c r="W20" s="12"/>
      <c r="X20" s="12"/>
    </row>
    <row r="21" spans="2:24" ht="39.75" customHeight="1">
      <c r="B21" s="11">
        <f>Dados!M34</f>
        <v>-0.12080946567752827</v>
      </c>
      <c r="C21" s="11"/>
      <c r="D21" s="11"/>
      <c r="F21" s="11">
        <f>Dados!M35</f>
        <v>0.22462693835356104</v>
      </c>
      <c r="G21" s="11"/>
      <c r="H21" s="11"/>
      <c r="J21" s="11">
        <f>Dados!M37</f>
        <v>-9.1512079088565693E-2</v>
      </c>
      <c r="K21" s="11"/>
      <c r="L21" s="11"/>
      <c r="N21" s="11">
        <f>Dados!M38</f>
        <v>0.38626372565808809</v>
      </c>
      <c r="O21" s="11"/>
      <c r="P21" s="11"/>
      <c r="R21" s="11">
        <f>Dados!M40</f>
        <v>-0.11504424778761048</v>
      </c>
      <c r="S21" s="11"/>
      <c r="T21" s="11"/>
      <c r="V21" s="11">
        <f>Dados!M41</f>
        <v>0.40158522271103098</v>
      </c>
      <c r="W21" s="11"/>
      <c r="X21" s="11"/>
    </row>
    <row r="40" spans="2:24" ht="18.75">
      <c r="B40" s="12" t="s">
        <v>17</v>
      </c>
      <c r="C40" s="12"/>
      <c r="D40" s="12"/>
      <c r="F40" s="12" t="s">
        <v>50</v>
      </c>
      <c r="G40" s="12"/>
      <c r="H40" s="12"/>
      <c r="J40" s="12" t="s">
        <v>17</v>
      </c>
      <c r="K40" s="12"/>
      <c r="L40" s="12"/>
      <c r="N40" s="12" t="s">
        <v>50</v>
      </c>
      <c r="O40" s="12"/>
      <c r="P40" s="12"/>
      <c r="R40" s="12" t="s">
        <v>17</v>
      </c>
      <c r="S40" s="12"/>
      <c r="T40" s="12"/>
      <c r="V40" s="12" t="s">
        <v>50</v>
      </c>
      <c r="W40" s="12"/>
      <c r="X40" s="12"/>
    </row>
    <row r="41" spans="2:24" ht="39.75" customHeight="1">
      <c r="B41" s="11">
        <f>Dados!M43</f>
        <v>-1.8248719606185647E-2</v>
      </c>
      <c r="C41" s="11"/>
      <c r="D41" s="11"/>
      <c r="F41" s="11">
        <f>Dados!M44</f>
        <v>0.326866670528208</v>
      </c>
      <c r="G41" s="11"/>
      <c r="H41" s="11"/>
      <c r="J41" s="11">
        <f>Dados!M46</f>
        <v>7.7275022570427775E-3</v>
      </c>
      <c r="K41" s="11"/>
      <c r="L41" s="11"/>
      <c r="N41" s="11">
        <f>Dados!M47</f>
        <v>-8.3764475915555664E-2</v>
      </c>
      <c r="O41" s="11"/>
      <c r="P41" s="11"/>
      <c r="R41" s="11">
        <f>Dados!M49</f>
        <v>0.1153635978976888</v>
      </c>
      <c r="S41" s="11"/>
      <c r="T41" s="11"/>
      <c r="V41" s="11">
        <f>Dados!M50</f>
        <v>-1.1232793684304451E-2</v>
      </c>
      <c r="W41" s="11"/>
      <c r="X41" s="11"/>
    </row>
  </sheetData>
  <mergeCells count="24">
    <mergeCell ref="N20:P20"/>
    <mergeCell ref="J21:L21"/>
    <mergeCell ref="N21:P21"/>
    <mergeCell ref="F20:H20"/>
    <mergeCell ref="B20:D20"/>
    <mergeCell ref="F21:H21"/>
    <mergeCell ref="B21:D21"/>
    <mergeCell ref="J20:L20"/>
    <mergeCell ref="B40:D40"/>
    <mergeCell ref="F40:H40"/>
    <mergeCell ref="J40:L40"/>
    <mergeCell ref="N40:P40"/>
    <mergeCell ref="R40:T40"/>
    <mergeCell ref="V41:X41"/>
    <mergeCell ref="R20:T20"/>
    <mergeCell ref="V20:X20"/>
    <mergeCell ref="R21:T21"/>
    <mergeCell ref="V21:X21"/>
    <mergeCell ref="V40:X40"/>
    <mergeCell ref="B41:D41"/>
    <mergeCell ref="F41:H41"/>
    <mergeCell ref="J41:L41"/>
    <mergeCell ref="N41:P41"/>
    <mergeCell ref="R41:T41"/>
  </mergeCells>
  <conditionalFormatting sqref="F21:H21">
    <cfRule type="iconSet" priority="18">
      <iconSet reverse="1">
        <cfvo type="percent" val="0"/>
        <cfvo type="num" val="-0.01"/>
        <cfvo type="num" val="0"/>
      </iconSet>
    </cfRule>
  </conditionalFormatting>
  <conditionalFormatting sqref="B21:D21">
    <cfRule type="iconSet" priority="17">
      <iconSet iconSet="3Arrows">
        <cfvo type="percent" val="0"/>
        <cfvo type="num" val="-0.01"/>
        <cfvo type="num" val="0"/>
      </iconSet>
    </cfRule>
  </conditionalFormatting>
  <conditionalFormatting sqref="J21:L21">
    <cfRule type="iconSet" priority="15">
      <iconSet iconSet="3Arrows">
        <cfvo type="percent" val="0"/>
        <cfvo type="num" val="-0.01"/>
        <cfvo type="num" val="0"/>
      </iconSet>
    </cfRule>
  </conditionalFormatting>
  <conditionalFormatting sqref="N21:P21">
    <cfRule type="iconSet" priority="14">
      <iconSet reverse="1">
        <cfvo type="percent" val="0"/>
        <cfvo type="num" val="-0.01"/>
        <cfvo type="num" val="0"/>
      </iconSet>
    </cfRule>
  </conditionalFormatting>
  <conditionalFormatting sqref="J21:L21">
    <cfRule type="iconSet" priority="13">
      <iconSet iconSet="3Arrows">
        <cfvo type="percent" val="0"/>
        <cfvo type="num" val="-0.01"/>
        <cfvo type="num" val="0"/>
      </iconSet>
    </cfRule>
  </conditionalFormatting>
  <conditionalFormatting sqref="R21:T21">
    <cfRule type="iconSet" priority="11">
      <iconSet iconSet="3Arrows">
        <cfvo type="percent" val="0"/>
        <cfvo type="num" val="-0.01"/>
        <cfvo type="num" val="0"/>
      </iconSet>
    </cfRule>
  </conditionalFormatting>
  <conditionalFormatting sqref="V21:X21">
    <cfRule type="iconSet" priority="10">
      <iconSet reverse="1">
        <cfvo type="percent" val="0"/>
        <cfvo type="num" val="-0.01"/>
        <cfvo type="num" val="0"/>
      </iconSet>
    </cfRule>
  </conditionalFormatting>
  <conditionalFormatting sqref="R21:T21">
    <cfRule type="iconSet" priority="9">
      <iconSet iconSet="3Arrows">
        <cfvo type="percent" val="0"/>
        <cfvo type="num" val="-0.01"/>
        <cfvo type="num" val="0"/>
      </iconSet>
    </cfRule>
  </conditionalFormatting>
  <conditionalFormatting sqref="F41:H41">
    <cfRule type="iconSet" priority="8">
      <iconSet reverse="1">
        <cfvo type="percent" val="0"/>
        <cfvo type="num" val="-0.01"/>
        <cfvo type="num" val="0"/>
      </iconSet>
    </cfRule>
  </conditionalFormatting>
  <conditionalFormatting sqref="B41:D41">
    <cfRule type="iconSet" priority="7">
      <iconSet iconSet="3Arrows">
        <cfvo type="percent" val="0"/>
        <cfvo type="num" val="-0.01"/>
        <cfvo type="num" val="0"/>
      </iconSet>
    </cfRule>
  </conditionalFormatting>
  <conditionalFormatting sqref="J41:L41">
    <cfRule type="iconSet" priority="6">
      <iconSet iconSet="3Arrows">
        <cfvo type="percent" val="0"/>
        <cfvo type="num" val="-0.01"/>
        <cfvo type="num" val="0"/>
      </iconSet>
    </cfRule>
  </conditionalFormatting>
  <conditionalFormatting sqref="N41:P41">
    <cfRule type="iconSet" priority="5">
      <iconSet reverse="1">
        <cfvo type="percent" val="0"/>
        <cfvo type="num" val="-0.01"/>
        <cfvo type="num" val="0"/>
      </iconSet>
    </cfRule>
  </conditionalFormatting>
  <conditionalFormatting sqref="J41:L41">
    <cfRule type="iconSet" priority="4">
      <iconSet iconSet="3Arrows">
        <cfvo type="percent" val="0"/>
        <cfvo type="num" val="-0.01"/>
        <cfvo type="num" val="0"/>
      </iconSet>
    </cfRule>
  </conditionalFormatting>
  <conditionalFormatting sqref="R41:T41">
    <cfRule type="iconSet" priority="3">
      <iconSet iconSet="3Arrows">
        <cfvo type="percent" val="0"/>
        <cfvo type="num" val="-0.01"/>
        <cfvo type="num" val="0"/>
      </iconSet>
    </cfRule>
  </conditionalFormatting>
  <conditionalFormatting sqref="V41:X41">
    <cfRule type="iconSet" priority="2">
      <iconSet reverse="1">
        <cfvo type="percent" val="0"/>
        <cfvo type="num" val="-0.01"/>
        <cfvo type="num" val="0"/>
      </iconSet>
    </cfRule>
  </conditionalFormatting>
  <conditionalFormatting sqref="R41:T41">
    <cfRule type="iconSet" priority="1">
      <iconSet iconSet="3Arrows">
        <cfvo type="percent" val="0"/>
        <cfvo type="num" val="-0.01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Pivot_Dados</vt:lpstr>
      <vt:lpstr>Pivot_Dados_Brasil</vt:lpstr>
      <vt:lpstr>Dados</vt:lpstr>
      <vt:lpstr>Visão Geral Regiao</vt:lpstr>
      <vt:lpstr>Gráfico</vt:lpstr>
      <vt:lpstr>Dados!Area_de_extracao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a404896</dc:creator>
  <cp:lastModifiedBy>a404896</cp:lastModifiedBy>
  <dcterms:created xsi:type="dcterms:W3CDTF">2009-12-03T11:50:47Z</dcterms:created>
  <dcterms:modified xsi:type="dcterms:W3CDTF">2010-03-08T13:28:18Z</dcterms:modified>
</cp:coreProperties>
</file>